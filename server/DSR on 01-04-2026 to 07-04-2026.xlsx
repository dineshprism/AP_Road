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590" windowWidth="14810" windowHeight="7530" tabRatio="556" activeTab="3"/>
  </bookViews>
  <sheets>
    <sheet name="DSR" sheetId="2" r:id="rId1"/>
    <sheet name="Fatal" sheetId="3" r:id="rId2"/>
    <sheet name="Non Fatal" sheetId="4" r:id="rId3"/>
    <sheet name="Time Wise" sheetId="7" r:id="rId4"/>
  </sheets>
  <calcPr calcId="162913"/>
</workbook>
</file>

<file path=xl/calcChain.xml><?xml version="1.0" encoding="utf-8"?>
<calcChain xmlns="http://schemas.openxmlformats.org/spreadsheetml/2006/main">
  <c r="E6" i="7" l="1"/>
  <c r="E7" i="7"/>
  <c r="E8" i="7"/>
  <c r="E9" i="7"/>
  <c r="E10" i="7"/>
  <c r="E11" i="7"/>
  <c r="E12" i="7"/>
  <c r="E5" i="7"/>
  <c r="Y32" i="3" l="1"/>
  <c r="C13" i="7" l="1"/>
  <c r="D13" i="7"/>
  <c r="F13" i="7"/>
  <c r="G13" i="7"/>
  <c r="H13" i="7"/>
  <c r="E13" i="7" l="1"/>
  <c r="Y32" i="4"/>
  <c r="W32" i="4"/>
  <c r="V32" i="4"/>
  <c r="U32" i="4"/>
  <c r="T32" i="4"/>
  <c r="S32" i="4"/>
  <c r="R32" i="4"/>
  <c r="Q32" i="4"/>
  <c r="P32" i="4"/>
  <c r="N32" i="4"/>
  <c r="M32" i="4"/>
  <c r="I32" i="4"/>
  <c r="H32" i="4"/>
  <c r="G32" i="4"/>
  <c r="F32" i="4"/>
  <c r="C32" i="4"/>
  <c r="W32" i="3"/>
  <c r="V32" i="3"/>
  <c r="U32" i="3"/>
  <c r="T32" i="3"/>
  <c r="S32" i="3"/>
  <c r="R32" i="3"/>
  <c r="Q32" i="3"/>
  <c r="P32" i="3"/>
  <c r="O32" i="3"/>
  <c r="N32" i="3"/>
  <c r="M32" i="3"/>
  <c r="I32" i="3"/>
  <c r="H32" i="3"/>
  <c r="G32" i="3"/>
  <c r="F32" i="3"/>
  <c r="C32" i="3"/>
  <c r="L34" i="2"/>
  <c r="K34" i="2"/>
  <c r="J34" i="2"/>
  <c r="I34" i="2"/>
  <c r="H34" i="2"/>
  <c r="G34" i="2"/>
  <c r="F34" i="2"/>
  <c r="E34" i="2"/>
  <c r="D34" i="2"/>
  <c r="C34" i="2"/>
</calcChain>
</file>

<file path=xl/sharedStrings.xml><?xml version="1.0" encoding="utf-8"?>
<sst xmlns="http://schemas.openxmlformats.org/spreadsheetml/2006/main" count="336" uniqueCount="181">
  <si>
    <t>S.
No</t>
  </si>
  <si>
    <t>No. of Accidents</t>
  </si>
  <si>
    <t>No. of Persons died</t>
  </si>
  <si>
    <t>No. of Persons Injured</t>
  </si>
  <si>
    <t>Fatal</t>
  </si>
  <si>
    <t>Non-Fatal</t>
  </si>
  <si>
    <t>Total</t>
  </si>
  <si>
    <t>SKLM</t>
  </si>
  <si>
    <t>VZM</t>
  </si>
  <si>
    <t>PVP MNYM</t>
  </si>
  <si>
    <t>ASR</t>
  </si>
  <si>
    <t>AKP</t>
  </si>
  <si>
    <t>KKD</t>
  </si>
  <si>
    <t>KNSM</t>
  </si>
  <si>
    <t>EG</t>
  </si>
  <si>
    <t>WG</t>
  </si>
  <si>
    <t>ELR</t>
  </si>
  <si>
    <t>KRI</t>
  </si>
  <si>
    <t>NTR</t>
  </si>
  <si>
    <t>GTR</t>
  </si>
  <si>
    <t>BPTL</t>
  </si>
  <si>
    <t>PLND</t>
  </si>
  <si>
    <t>SPS NLR</t>
  </si>
  <si>
    <t>SSS</t>
  </si>
  <si>
    <t>KDP</t>
  </si>
  <si>
    <t>ANMY</t>
  </si>
  <si>
    <t>CTR</t>
  </si>
  <si>
    <t>TOTAL</t>
  </si>
  <si>
    <t>Time of Accident</t>
  </si>
  <si>
    <t>VSKP</t>
  </si>
  <si>
    <t>PKSM</t>
  </si>
  <si>
    <t>KRNL</t>
  </si>
  <si>
    <t>NDYL</t>
  </si>
  <si>
    <t>ATPR</t>
  </si>
  <si>
    <t>TPTY</t>
  </si>
  <si>
    <t>NH</t>
  </si>
  <si>
    <t>SH</t>
  </si>
  <si>
    <t>Other Roads</t>
  </si>
  <si>
    <t>Unit Name</t>
  </si>
  <si>
    <t>S.No</t>
  </si>
  <si>
    <t>Reason for Accident</t>
  </si>
  <si>
    <t>Two Wheeler</t>
  </si>
  <si>
    <t>Accidents</t>
  </si>
  <si>
    <t>Deaths</t>
  </si>
  <si>
    <t>Three Wheeler</t>
  </si>
  <si>
    <t>Other vehicles</t>
  </si>
  <si>
    <t>Black Spot  Yes/No</t>
  </si>
  <si>
    <t>Proforma-I (Fatal Accidents)</t>
  </si>
  <si>
    <t>Car/Cab/Maxi cab</t>
  </si>
  <si>
    <t>BUS</t>
  </si>
  <si>
    <t>LORRY</t>
  </si>
  <si>
    <t>Proforma-II (Non-Fatal Accidents)</t>
  </si>
  <si>
    <t>Injured</t>
  </si>
  <si>
    <t>Non Fatal</t>
  </si>
  <si>
    <t>Wearing helmet or Not</t>
  </si>
  <si>
    <t>Corporation / City Road</t>
  </si>
  <si>
    <t>Muncipal Road</t>
  </si>
  <si>
    <t>Time
HOURS</t>
  </si>
  <si>
    <t>06.00 to 09.00(hrs)(Day)</t>
  </si>
  <si>
    <t>09.00 to 12.00(hrs)(Day)</t>
  </si>
  <si>
    <t>12.00 to 15.00(hrs)(Day)</t>
  </si>
  <si>
    <t>15.00 to 18.00(hrs)(Day)</t>
  </si>
  <si>
    <t>18.00 to 21.00(hrs)(Night)</t>
  </si>
  <si>
    <t>21.00 to 24.00(hrs)(Night)</t>
  </si>
  <si>
    <t>00.00 to 03.00(hrs)(Night)</t>
  </si>
  <si>
    <t>03.00 to 06.00(hrs)(Night)</t>
  </si>
  <si>
    <t>Total Accidents</t>
  </si>
  <si>
    <t>No.of Persons</t>
  </si>
  <si>
    <t>Killed</t>
  </si>
  <si>
    <t>Grievous injury</t>
  </si>
  <si>
    <t>Minor injury</t>
  </si>
  <si>
    <t>Reason for Accident (Specified speed of vehicle)</t>
  </si>
  <si>
    <t>Village Roads</t>
  </si>
  <si>
    <t>Police Station Name</t>
  </si>
  <si>
    <t>PLVM</t>
  </si>
  <si>
    <t>MKP</t>
  </si>
  <si>
    <t>PVLM</t>
  </si>
  <si>
    <t>Accidents at black spots</t>
  </si>
  <si>
    <t>S.N</t>
  </si>
  <si>
    <t xml:space="preserve">Fatal </t>
  </si>
  <si>
    <t>Daily DSR of Road Accidents (RoadSafety Wing) date: 01-04-2026</t>
  </si>
  <si>
    <t>Rash &amp; Negligence</t>
  </si>
  <si>
    <t>Kasimkota PS</t>
  </si>
  <si>
    <t>No</t>
  </si>
  <si>
    <t>08.00 hrs</t>
  </si>
  <si>
    <t>Sabbavaram PS</t>
  </si>
  <si>
    <t>07.15 hrs</t>
  </si>
  <si>
    <t>Over Speed</t>
  </si>
  <si>
    <t>Uravakonda</t>
  </si>
  <si>
    <t>01.15 PM</t>
  </si>
  <si>
    <t>Dumbriguda PS</t>
  </si>
  <si>
    <t>23.30 hrs</t>
  </si>
  <si>
    <t>no</t>
  </si>
  <si>
    <t>over spedd</t>
  </si>
  <si>
    <t>Battiprole</t>
  </si>
  <si>
    <t xml:space="preserve"> no</t>
  </si>
  <si>
    <t>06:30am</t>
  </si>
  <si>
    <t>Over speed</t>
  </si>
  <si>
    <t>Gudipalli PS</t>
  </si>
  <si>
    <t>06.45 PM</t>
  </si>
  <si>
    <t>Rash and negligent manner with high speed</t>
  </si>
  <si>
    <t xml:space="preserve">Unknown </t>
  </si>
  <si>
    <t>03.30 PM, 08.30 PM</t>
  </si>
  <si>
    <r>
      <t xml:space="preserve">Bommuru PS,   </t>
    </r>
    <r>
      <rPr>
        <sz val="8"/>
        <color rgb="FFFF0000"/>
        <rFont val="Bookman Old Style"/>
        <family val="1"/>
      </rPr>
      <t>Devarapalli PS</t>
    </r>
  </si>
  <si>
    <t>1-Yes</t>
  </si>
  <si>
    <t>Rangampeta PS</t>
  </si>
  <si>
    <t>09.30 AM</t>
  </si>
  <si>
    <t xml:space="preserve">  Rash and negligence</t>
  </si>
  <si>
    <t>Tadepalli PS</t>
  </si>
  <si>
    <t>10.45 pm</t>
  </si>
  <si>
    <t>Kamalapuram</t>
  </si>
  <si>
    <t>06.30 PM</t>
  </si>
  <si>
    <t>1 (Tractor)</t>
  </si>
  <si>
    <t>Rash &amp; Negligent</t>
  </si>
  <si>
    <t>Thondangi PS</t>
  </si>
  <si>
    <t>07.00 AM</t>
  </si>
  <si>
    <t>Rash Driving</t>
  </si>
  <si>
    <t>Coringa PS
Gandeaplli PS</t>
  </si>
  <si>
    <t>No
Yes</t>
  </si>
  <si>
    <t>10.00 AM
01.30 PM</t>
  </si>
  <si>
    <t xml:space="preserve">Rash and negligence manner </t>
  </si>
  <si>
    <t>Ramachandrapuram PS</t>
  </si>
  <si>
    <t>Not wearing</t>
  </si>
  <si>
    <t>Rash and negeligent
Rash and negeligent</t>
  </si>
  <si>
    <t>No 
No</t>
  </si>
  <si>
    <t>19.45 hrs
15.45 hrs</t>
  </si>
  <si>
    <r>
      <t xml:space="preserve">Gannavaram
</t>
    </r>
    <r>
      <rPr>
        <sz val="8"/>
        <color theme="1"/>
        <rFont val="Bookman Old Style"/>
        <family val="1"/>
      </rPr>
      <t xml:space="preserve">Robertsonpet </t>
    </r>
  </si>
  <si>
    <t>rash and negligent manner with high speed</t>
  </si>
  <si>
    <t>K. Nagalapuram PS</t>
  </si>
  <si>
    <t>NO</t>
  </si>
  <si>
    <t>21.00 hrs</t>
  </si>
  <si>
    <t>PAMUR PS</t>
  </si>
  <si>
    <t>22:30 HRS</t>
  </si>
  <si>
    <t xml:space="preserve">TROLLEY AUTO </t>
  </si>
  <si>
    <t xml:space="preserve"> trolley auto drove his vehicle in a rash and negligence manner with high speed and hit the lorry </t>
  </si>
  <si>
    <t>Rash and negligence with high speed</t>
  </si>
  <si>
    <t>Nandyal Traffic UPS</t>
  </si>
  <si>
    <t>12.00 PM</t>
  </si>
  <si>
    <t>Nellore Rural</t>
  </si>
  <si>
    <t>Devarapalem Village</t>
  </si>
  <si>
    <t>15.45</t>
  </si>
  <si>
    <t>1. Rash &amp; Negligence
2. Rash &amp; Negligence
3. Rash &amp; Negligence</t>
  </si>
  <si>
    <t xml:space="preserve">1. Viruvuru Village
2. Jammalapalem Village </t>
  </si>
  <si>
    <t>17.30
11.00
13.15</t>
  </si>
  <si>
    <t>Yes</t>
  </si>
  <si>
    <t>Tractor</t>
  </si>
  <si>
    <t>1. Podalakur
2. South Traffic
3. Jaladanki</t>
  </si>
  <si>
    <t>Rash &amp; Negligence,
Hit Traffic Booth,
Rash &amp; Negligence</t>
  </si>
  <si>
    <t>No,
Yes,
No</t>
  </si>
  <si>
    <t>11:45
17:00
23:30</t>
  </si>
  <si>
    <r>
      <rPr>
        <sz val="8"/>
        <color rgb="FFFF0000"/>
        <rFont val="Bookman Old Style"/>
        <family val="1"/>
      </rPr>
      <t>Bhavanipuram,
Bhavanipuram,</t>
    </r>
    <r>
      <rPr>
        <sz val="8"/>
        <color theme="1"/>
        <rFont val="Bookman Old Style"/>
        <family val="1"/>
      </rPr>
      <t xml:space="preserve">
A.S.Nagar</t>
    </r>
  </si>
  <si>
    <t>BALLIKURAVA PS</t>
  </si>
  <si>
    <t>12:50 HRS</t>
  </si>
  <si>
    <t xml:space="preserve">Jammalamadaka village, </t>
  </si>
  <si>
    <t>Narasaraopet Rural PS,Chilakaluripet Rural PS,Rentachinthal PS</t>
  </si>
  <si>
    <t>11.30 hrs, 13.00 hrs, 22.30 hrs</t>
  </si>
  <si>
    <t>1-Yes,2-No</t>
  </si>
  <si>
    <t>Dachepalli PS</t>
  </si>
  <si>
    <t>10.45 hrs</t>
  </si>
  <si>
    <t>Makkuva PS</t>
  </si>
  <si>
    <t xml:space="preserve">Duggeru to Aluguruvu village Junction </t>
  </si>
  <si>
    <t xml:space="preserve">Moter cycle accused drive was rash and negligent manner with speed without blowing horn </t>
  </si>
  <si>
    <t>rash and neglegence</t>
  </si>
  <si>
    <t>komarada PS</t>
  </si>
  <si>
    <t>1-Srirampuram</t>
  </si>
  <si>
    <t>Kanchili</t>
  </si>
  <si>
    <t>Not</t>
  </si>
  <si>
    <t>15.00</t>
  </si>
  <si>
    <t>Dashed behind the deceased auto</t>
  </si>
  <si>
    <t>Sullurupeta PS</t>
  </si>
  <si>
    <t>03-20 PM</t>
  </si>
  <si>
    <t xml:space="preserve">1. Dashed against the backside 
Scooty
2. Dashed against the pedestrian
</t>
  </si>
  <si>
    <t>1. Srikalahasti II town PS
2. East PS</t>
  </si>
  <si>
    <t>11-00 AM 
12.35 AM</t>
  </si>
  <si>
    <t>1.No
2.No</t>
  </si>
  <si>
    <t>21:00
10:05</t>
  </si>
  <si>
    <r>
      <rPr>
        <sz val="8"/>
        <color rgb="FFFF0000"/>
        <rFont val="Bookman Old Style"/>
        <family val="1"/>
      </rPr>
      <t>1.P.M.Palem</t>
    </r>
    <r>
      <rPr>
        <sz val="8"/>
        <color theme="1"/>
        <rFont val="Bookman Old Style"/>
        <family val="1"/>
      </rPr>
      <t xml:space="preserve">
2.Harbour </t>
    </r>
  </si>
  <si>
    <t>Over Speed, Over Speed, Over Speed, Rash &amp; Negligence</t>
  </si>
  <si>
    <t>Tanuku Rural PS, Bhimavaram Rural PS, Bhimavaram 2 Town PS, Akiveedu PS</t>
  </si>
  <si>
    <t>Yes, No, No, No</t>
  </si>
  <si>
    <t>6.00, 21.30,13.30, 12.30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</si>
</sst>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b/>
      <sz val="11"/>
      <color theme="1"/>
      <name val="Bookman Old Style"/>
      <family val="1"/>
    </font>
    <font>
      <b/>
      <sz val="8"/>
      <color theme="1"/>
      <name val="Bookman Old Style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Bookman Old Style"/>
      <family val="1"/>
    </font>
    <font>
      <u/>
      <sz val="11"/>
      <color rgb="FF0000FF"/>
      <name val="Calibri"/>
      <family val="2"/>
    </font>
    <font>
      <b/>
      <sz val="10"/>
      <color theme="1"/>
      <name val="Bookman Old Style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1"/>
      <name val="Calibri"/>
      <family val="2"/>
    </font>
    <font>
      <u/>
      <sz val="11"/>
      <color rgb="FF0000FF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rgb="FF000000"/>
      <name val="Bookman Old Style"/>
      <family val="1"/>
    </font>
    <font>
      <sz val="9"/>
      <color theme="1"/>
      <name val="Bookman Old Style"/>
      <family val="1"/>
    </font>
    <font>
      <sz val="9"/>
      <name val="Bookman Old Style"/>
      <family val="1"/>
    </font>
    <font>
      <b/>
      <sz val="9"/>
      <color theme="1"/>
      <name val="Bookman Old Style"/>
      <family val="1"/>
    </font>
    <font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0"/>
      <name val="Bookman Old Style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1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1"/>
    </font>
    <font>
      <u/>
      <sz val="11"/>
      <color rgb="FF0000FF"/>
      <name val="Calibri"/>
      <family val="1"/>
    </font>
    <font>
      <sz val="11"/>
      <color theme="1"/>
      <name val="Calibri"/>
      <family val="2"/>
      <charset val="1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8"/>
      <color rgb="FFFF0000"/>
      <name val="Bookman Old Style"/>
      <family val="1"/>
    </font>
    <font>
      <b/>
      <sz val="8"/>
      <color rgb="FF000000"/>
      <name val="Bookman Old Style"/>
      <family val="1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3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1" fillId="0" borderId="0">
      <alignment vertical="top"/>
      <protection locked="0"/>
    </xf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1" fillId="0" borderId="0">
      <protection locked="0"/>
    </xf>
    <xf numFmtId="0" fontId="17" fillId="0" borderId="0">
      <alignment vertical="center"/>
    </xf>
    <xf numFmtId="0" fontId="18" fillId="0" borderId="0">
      <protection locked="0"/>
    </xf>
    <xf numFmtId="0" fontId="5" fillId="0" borderId="0"/>
    <xf numFmtId="0" fontId="20" fillId="0" borderId="0">
      <alignment vertical="top"/>
      <protection locked="0"/>
    </xf>
    <xf numFmtId="0" fontId="19" fillId="0" borderId="0">
      <alignment vertical="center"/>
    </xf>
    <xf numFmtId="0" fontId="20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9" fillId="0" borderId="0">
      <alignment vertical="center"/>
    </xf>
    <xf numFmtId="0" fontId="20" fillId="0" borderId="0">
      <alignment vertical="top"/>
      <protection locked="0"/>
    </xf>
    <xf numFmtId="0" fontId="5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0" fillId="0" borderId="0">
      <protection locked="0"/>
    </xf>
    <xf numFmtId="0" fontId="19" fillId="0" borderId="0">
      <alignment vertical="center"/>
    </xf>
    <xf numFmtId="0" fontId="20" fillId="0" borderId="0">
      <protection locked="0"/>
    </xf>
    <xf numFmtId="0" fontId="21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8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8" fillId="0" borderId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18" fillId="0" borderId="0">
      <protection locked="0"/>
    </xf>
    <xf numFmtId="0" fontId="18" fillId="0" borderId="0">
      <alignment vertical="top"/>
      <protection locked="0"/>
    </xf>
    <xf numFmtId="0" fontId="18" fillId="0" borderId="0">
      <protection locked="0"/>
    </xf>
    <xf numFmtId="0" fontId="18" fillId="0" borderId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8" fillId="0" borderId="0">
      <protection locked="0"/>
    </xf>
    <xf numFmtId="0" fontId="13" fillId="0" borderId="0"/>
    <xf numFmtId="0" fontId="30" fillId="0" borderId="0"/>
    <xf numFmtId="0" fontId="30" fillId="0" borderId="0"/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3" fillId="0" borderId="0"/>
    <xf numFmtId="0" fontId="13" fillId="0" borderId="0"/>
    <xf numFmtId="0" fontId="30" fillId="0" borderId="0"/>
    <xf numFmtId="0" fontId="3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31" fillId="0" borderId="0"/>
    <xf numFmtId="0" fontId="34" fillId="0" borderId="0">
      <protection locked="0"/>
    </xf>
    <xf numFmtId="0" fontId="33" fillId="0" borderId="0">
      <alignment vertical="top"/>
      <protection locked="0"/>
    </xf>
    <xf numFmtId="0" fontId="9" fillId="0" borderId="0">
      <alignment vertical="center"/>
    </xf>
    <xf numFmtId="0" fontId="11" fillId="0" borderId="0">
      <protection locked="0"/>
    </xf>
    <xf numFmtId="0" fontId="11" fillId="0" borderId="0">
      <alignment vertical="top"/>
      <protection locked="0"/>
    </xf>
    <xf numFmtId="0" fontId="9" fillId="0" borderId="0">
      <alignment vertical="center"/>
    </xf>
    <xf numFmtId="0" fontId="11" fillId="0" borderId="0">
      <protection locked="0"/>
    </xf>
    <xf numFmtId="0" fontId="9" fillId="0" borderId="0">
      <alignment vertical="center"/>
    </xf>
    <xf numFmtId="0" fontId="11" fillId="0" borderId="0">
      <alignment vertical="top"/>
      <protection locked="0"/>
    </xf>
    <xf numFmtId="0" fontId="11" fillId="0" borderId="0">
      <protection locked="0"/>
    </xf>
    <xf numFmtId="0" fontId="9" fillId="0" borderId="0">
      <alignment vertical="center"/>
    </xf>
    <xf numFmtId="0" fontId="11" fillId="0" borderId="0">
      <protection locked="0"/>
    </xf>
    <xf numFmtId="0" fontId="2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1" fillId="0" borderId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1" fillId="0" borderId="0">
      <protection locked="0"/>
    </xf>
    <xf numFmtId="0" fontId="11" fillId="0" borderId="0">
      <alignment vertical="top"/>
      <protection locked="0"/>
    </xf>
    <xf numFmtId="0" fontId="11" fillId="0" borderId="0">
      <protection locked="0"/>
    </xf>
    <xf numFmtId="0" fontId="11" fillId="0" borderId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>
      <protection locked="0"/>
    </xf>
    <xf numFmtId="0" fontId="5" fillId="0" borderId="0"/>
    <xf numFmtId="0" fontId="23" fillId="0" borderId="0"/>
    <xf numFmtId="0" fontId="23" fillId="0" borderId="0"/>
    <xf numFmtId="0" fontId="9" fillId="0" borderId="0">
      <alignment vertical="center"/>
    </xf>
    <xf numFmtId="0" fontId="9" fillId="0" borderId="0">
      <protection locked="0"/>
    </xf>
    <xf numFmtId="0" fontId="9" fillId="0" borderId="0">
      <alignment vertical="center"/>
    </xf>
    <xf numFmtId="0" fontId="5" fillId="0" borderId="0"/>
    <xf numFmtId="0" fontId="5" fillId="0" borderId="0"/>
    <xf numFmtId="0" fontId="23" fillId="0" borderId="0"/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protection locked="0"/>
    </xf>
    <xf numFmtId="0" fontId="22" fillId="0" borderId="0"/>
    <xf numFmtId="0" fontId="32" fillId="0" borderId="0">
      <alignment vertical="center"/>
    </xf>
    <xf numFmtId="0" fontId="32" fillId="0" borderId="0">
      <protection locked="0"/>
    </xf>
    <xf numFmtId="0" fontId="32" fillId="0" borderId="0">
      <protection locked="0"/>
    </xf>
    <xf numFmtId="0" fontId="35" fillId="0" borderId="0"/>
    <xf numFmtId="0" fontId="37" fillId="0" borderId="0"/>
    <xf numFmtId="0" fontId="36" fillId="0" borderId="0" applyNumberFormat="0" applyFill="0" applyBorder="0" applyAlignment="0" applyProtection="0">
      <alignment vertical="center"/>
    </xf>
    <xf numFmtId="0" fontId="5" fillId="0" borderId="0"/>
    <xf numFmtId="0" fontId="22" fillId="0" borderId="0">
      <protection locked="0"/>
    </xf>
    <xf numFmtId="0" fontId="11" fillId="0" borderId="0">
      <alignment vertical="top"/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5" fillId="0" borderId="0"/>
    <xf numFmtId="0" fontId="22" fillId="0" borderId="0"/>
    <xf numFmtId="0" fontId="21" fillId="0" borderId="0" applyNumberFormat="0" applyFill="0" applyBorder="0" applyAlignment="0" applyProtection="0">
      <alignment vertical="center"/>
    </xf>
    <xf numFmtId="0" fontId="5" fillId="0" borderId="0"/>
    <xf numFmtId="0" fontId="38" fillId="0" borderId="0"/>
    <xf numFmtId="0" fontId="39" fillId="0" borderId="0"/>
    <xf numFmtId="0" fontId="42" fillId="0" borderId="0">
      <protection locked="0"/>
    </xf>
    <xf numFmtId="0" fontId="41" fillId="0" borderId="0">
      <alignment vertical="top"/>
      <protection locked="0"/>
    </xf>
    <xf numFmtId="0" fontId="40" fillId="0" borderId="0">
      <alignment vertical="center"/>
    </xf>
    <xf numFmtId="0" fontId="40" fillId="0" borderId="0">
      <protection locked="0"/>
    </xf>
    <xf numFmtId="0" fontId="40" fillId="0" borderId="0">
      <protection locked="0"/>
    </xf>
    <xf numFmtId="0" fontId="43" fillId="0" borderId="0"/>
    <xf numFmtId="0" fontId="45" fillId="0" borderId="0"/>
    <xf numFmtId="0" fontId="44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22" fillId="0" borderId="0">
      <protection locked="0"/>
    </xf>
    <xf numFmtId="0" fontId="5" fillId="0" borderId="0"/>
    <xf numFmtId="0" fontId="5" fillId="0" borderId="0"/>
    <xf numFmtId="0" fontId="5" fillId="0" borderId="0"/>
    <xf numFmtId="0" fontId="43" fillId="0" borderId="0"/>
    <xf numFmtId="0" fontId="5" fillId="0" borderId="0"/>
    <xf numFmtId="0" fontId="5" fillId="0" borderId="0"/>
    <xf numFmtId="0" fontId="41" fillId="0" borderId="0">
      <protection locked="0"/>
    </xf>
    <xf numFmtId="0" fontId="40" fillId="0" borderId="0">
      <protection locked="0"/>
    </xf>
    <xf numFmtId="0" fontId="5" fillId="0" borderId="0"/>
    <xf numFmtId="0" fontId="5" fillId="0" borderId="0"/>
    <xf numFmtId="0" fontId="5" fillId="0" borderId="0"/>
    <xf numFmtId="0" fontId="23" fillId="0" borderId="0"/>
    <xf numFmtId="0" fontId="47" fillId="0" borderId="0"/>
    <xf numFmtId="0" fontId="23" fillId="0" borderId="0">
      <protection locked="0"/>
    </xf>
    <xf numFmtId="0" fontId="22" fillId="0" borderId="0">
      <protection locked="0"/>
    </xf>
    <xf numFmtId="0" fontId="11" fillId="0" borderId="0">
      <alignment vertical="top"/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5" fillId="0" borderId="0"/>
    <xf numFmtId="0" fontId="22" fillId="0" borderId="0"/>
    <xf numFmtId="0" fontId="21" fillId="0" borderId="0" applyNumberFormat="0" applyFill="0" applyBorder="0" applyAlignment="0" applyProtection="0">
      <alignment vertical="center"/>
    </xf>
    <xf numFmtId="0" fontId="5" fillId="0" borderId="0"/>
    <xf numFmtId="0" fontId="11" fillId="0" borderId="0">
      <protection locked="0"/>
    </xf>
    <xf numFmtId="0" fontId="9" fillId="0" borderId="0">
      <protection locked="0"/>
    </xf>
    <xf numFmtId="0" fontId="38" fillId="0" borderId="0"/>
    <xf numFmtId="0" fontId="9" fillId="0" borderId="0">
      <protection locked="0"/>
    </xf>
    <xf numFmtId="0" fontId="50" fillId="0" borderId="0"/>
    <xf numFmtId="0" fontId="49" fillId="0" borderId="0" applyNumberFormat="0" applyFill="0" applyBorder="0" applyAlignment="0" applyProtection="0">
      <alignment vertical="center"/>
    </xf>
    <xf numFmtId="0" fontId="48" fillId="0" borderId="0"/>
    <xf numFmtId="0" fontId="38" fillId="0" borderId="0"/>
    <xf numFmtId="0" fontId="48" fillId="0" borderId="0"/>
    <xf numFmtId="0" fontId="11" fillId="0" borderId="0">
      <alignment vertical="top"/>
      <protection locked="0"/>
    </xf>
    <xf numFmtId="0" fontId="9" fillId="0" borderId="0">
      <protection locked="0"/>
    </xf>
    <xf numFmtId="0" fontId="5" fillId="0" borderId="0"/>
    <xf numFmtId="0" fontId="21" fillId="0" borderId="0" applyNumberFormat="0" applyFill="0" applyBorder="0" applyAlignment="0" applyProtection="0">
      <alignment vertical="center"/>
    </xf>
    <xf numFmtId="0" fontId="9" fillId="0" borderId="0">
      <protection locked="0"/>
    </xf>
    <xf numFmtId="0" fontId="63" fillId="7" borderId="10" applyNumberFormat="0" applyAlignment="0" applyProtection="0"/>
    <xf numFmtId="0" fontId="22" fillId="0" borderId="0">
      <protection locked="0"/>
    </xf>
    <xf numFmtId="0" fontId="22" fillId="0" borderId="0"/>
    <xf numFmtId="0" fontId="5" fillId="0" borderId="0"/>
    <xf numFmtId="0" fontId="51" fillId="14" borderId="0" applyNumberFormat="0" applyBorder="0" applyAlignment="0" applyProtection="0"/>
    <xf numFmtId="0" fontId="9" fillId="0" borderId="0">
      <alignment vertical="center"/>
    </xf>
    <xf numFmtId="0" fontId="51" fillId="22" borderId="0" applyNumberFormat="0" applyBorder="0" applyAlignment="0" applyProtection="0"/>
    <xf numFmtId="0" fontId="52" fillId="34" borderId="0" applyNumberFormat="0" applyBorder="0" applyAlignment="0" applyProtection="0"/>
    <xf numFmtId="0" fontId="61" fillId="0" borderId="16" applyNumberFormat="0" applyFill="0" applyAlignment="0" applyProtection="0"/>
    <xf numFmtId="0" fontId="23" fillId="0" borderId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0" fillId="0" borderId="15" applyNumberFormat="0" applyFill="0" applyAlignment="0" applyProtection="0"/>
    <xf numFmtId="0" fontId="53" fillId="9" borderId="13" applyNumberFormat="0" applyAlignment="0" applyProtection="0"/>
    <xf numFmtId="0" fontId="51" fillId="23" borderId="0" applyNumberFormat="0" applyBorder="0" applyAlignment="0" applyProtection="0"/>
    <xf numFmtId="0" fontId="52" fillId="35" borderId="0" applyNumberFormat="0" applyBorder="0" applyAlignment="0" applyProtection="0"/>
    <xf numFmtId="0" fontId="52" fillId="28" borderId="0" applyNumberFormat="0" applyBorder="0" applyAlignment="0" applyProtection="0"/>
    <xf numFmtId="0" fontId="55" fillId="0" borderId="18" applyNumberFormat="0" applyFill="0" applyAlignment="0" applyProtection="0"/>
    <xf numFmtId="0" fontId="5" fillId="0" borderId="0"/>
    <xf numFmtId="0" fontId="51" fillId="17" borderId="0" applyNumberFormat="0" applyBorder="0" applyAlignment="0" applyProtection="0"/>
    <xf numFmtId="0" fontId="58" fillId="8" borderId="10" applyNumberFormat="0" applyAlignment="0" applyProtection="0"/>
    <xf numFmtId="0" fontId="52" fillId="36" borderId="0" applyNumberFormat="0" applyBorder="0" applyAlignment="0" applyProtection="0"/>
    <xf numFmtId="0" fontId="23" fillId="0" borderId="0"/>
    <xf numFmtId="0" fontId="52" fillId="31" borderId="0" applyNumberFormat="0" applyBorder="0" applyAlignment="0" applyProtection="0"/>
    <xf numFmtId="0" fontId="51" fillId="18" borderId="0" applyNumberFormat="0" applyBorder="0" applyAlignment="0" applyProtection="0"/>
    <xf numFmtId="0" fontId="52" fillId="29" borderId="0" applyNumberFormat="0" applyBorder="0" applyAlignment="0" applyProtection="0"/>
    <xf numFmtId="0" fontId="59" fillId="10" borderId="0" applyNumberFormat="0" applyBorder="0" applyAlignment="0" applyProtection="0"/>
    <xf numFmtId="0" fontId="67" fillId="0" borderId="0" applyNumberFormat="0" applyFill="0" applyBorder="0" applyAlignment="0" applyProtection="0"/>
    <xf numFmtId="0" fontId="51" fillId="22" borderId="0" applyNumberFormat="0" applyBorder="0" applyAlignment="0" applyProtection="0"/>
    <xf numFmtId="0" fontId="51" fillId="13" borderId="0" applyNumberFormat="0" applyBorder="0" applyAlignment="0" applyProtection="0"/>
    <xf numFmtId="0" fontId="51" fillId="20" borderId="0" applyNumberFormat="0" applyBorder="0" applyAlignment="0" applyProtection="0"/>
    <xf numFmtId="0" fontId="51" fillId="13" borderId="0" applyNumberFormat="0" applyBorder="0" applyAlignment="0" applyProtection="0"/>
    <xf numFmtId="0" fontId="52" fillId="36" borderId="0" applyNumberFormat="0" applyBorder="0" applyAlignment="0" applyProtection="0"/>
    <xf numFmtId="0" fontId="5" fillId="0" borderId="0"/>
    <xf numFmtId="0" fontId="59" fillId="10" borderId="0" applyNumberFormat="0" applyBorder="0" applyAlignment="0" applyProtection="0"/>
    <xf numFmtId="0" fontId="51" fillId="0" borderId="0"/>
    <xf numFmtId="0" fontId="52" fillId="28" borderId="0" applyNumberFormat="0" applyBorder="0" applyAlignment="0" applyProtection="0"/>
    <xf numFmtId="0" fontId="52" fillId="33" borderId="0" applyNumberFormat="0" applyBorder="0" applyAlignment="0" applyProtection="0"/>
    <xf numFmtId="0" fontId="51" fillId="21" borderId="0" applyNumberFormat="0" applyBorder="0" applyAlignment="0" applyProtection="0"/>
    <xf numFmtId="0" fontId="52" fillId="29" borderId="0" applyNumberFormat="0" applyBorder="0" applyAlignment="0" applyProtection="0"/>
    <xf numFmtId="0" fontId="53" fillId="9" borderId="13" applyNumberFormat="0" applyAlignment="0" applyProtection="0"/>
    <xf numFmtId="0" fontId="52" fillId="32" borderId="0" applyNumberFormat="0" applyBorder="0" applyAlignment="0" applyProtection="0"/>
    <xf numFmtId="0" fontId="53" fillId="9" borderId="13" applyNumberFormat="0" applyAlignment="0" applyProtection="0"/>
    <xf numFmtId="0" fontId="51" fillId="19" borderId="0" applyNumberFormat="0" applyBorder="0" applyAlignment="0" applyProtection="0"/>
    <xf numFmtId="0" fontId="65" fillId="12" borderId="0" applyNumberFormat="0" applyBorder="0" applyAlignment="0" applyProtection="0"/>
    <xf numFmtId="0" fontId="51" fillId="21" borderId="0" applyNumberFormat="0" applyBorder="0" applyAlignment="0" applyProtection="0"/>
    <xf numFmtId="0" fontId="52" fillId="25" borderId="0" applyNumberFormat="0" applyBorder="0" applyAlignment="0" applyProtection="0"/>
    <xf numFmtId="0" fontId="51" fillId="21" borderId="0" applyNumberFormat="0" applyBorder="0" applyAlignment="0" applyProtection="0"/>
    <xf numFmtId="0" fontId="23" fillId="6" borderId="14" applyNumberFormat="0" applyFont="0" applyAlignment="0" applyProtection="0"/>
    <xf numFmtId="0" fontId="51" fillId="16" borderId="0" applyNumberFormat="0" applyBorder="0" applyAlignment="0" applyProtection="0"/>
    <xf numFmtId="0" fontId="54" fillId="0" borderId="0" applyNumberFormat="0" applyFill="0" applyBorder="0" applyAlignment="0" applyProtection="0"/>
    <xf numFmtId="0" fontId="51" fillId="0" borderId="0"/>
    <xf numFmtId="0" fontId="52" fillId="25" borderId="0" applyNumberFormat="0" applyBorder="0" applyAlignment="0" applyProtection="0"/>
    <xf numFmtId="0" fontId="23" fillId="0" borderId="0"/>
    <xf numFmtId="0" fontId="5" fillId="0" borderId="0"/>
    <xf numFmtId="0" fontId="62" fillId="0" borderId="17" applyNumberFormat="0" applyFill="0" applyAlignment="0" applyProtection="0"/>
    <xf numFmtId="0" fontId="58" fillId="8" borderId="10" applyNumberFormat="0" applyAlignment="0" applyProtection="0"/>
    <xf numFmtId="0" fontId="64" fillId="0" borderId="12" applyNumberFormat="0" applyFill="0" applyAlignment="0" applyProtection="0"/>
    <xf numFmtId="0" fontId="23" fillId="6" borderId="14" applyNumberFormat="0" applyFont="0" applyAlignment="0" applyProtection="0"/>
    <xf numFmtId="0" fontId="55" fillId="0" borderId="18" applyNumberFormat="0" applyFill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31" borderId="0" applyNumberFormat="0" applyBorder="0" applyAlignment="0" applyProtection="0"/>
    <xf numFmtId="0" fontId="52" fillId="35" borderId="0" applyNumberFormat="0" applyBorder="0" applyAlignment="0" applyProtection="0"/>
    <xf numFmtId="0" fontId="51" fillId="17" borderId="0" applyNumberFormat="0" applyBorder="0" applyAlignment="0" applyProtection="0"/>
    <xf numFmtId="0" fontId="52" fillId="30" borderId="0" applyNumberFormat="0" applyBorder="0" applyAlignment="0" applyProtection="0"/>
    <xf numFmtId="0" fontId="52" fillId="27" borderId="0" applyNumberFormat="0" applyBorder="0" applyAlignment="0" applyProtection="0"/>
    <xf numFmtId="0" fontId="51" fillId="0" borderId="0"/>
    <xf numFmtId="0" fontId="63" fillId="7" borderId="10" applyNumberFormat="0" applyAlignment="0" applyProtection="0"/>
    <xf numFmtId="0" fontId="62" fillId="0" borderId="0" applyNumberFormat="0" applyFill="0" applyBorder="0" applyAlignment="0" applyProtection="0"/>
    <xf numFmtId="0" fontId="23" fillId="0" borderId="0"/>
    <xf numFmtId="0" fontId="66" fillId="8" borderId="11" applyNumberFormat="0" applyAlignment="0" applyProtection="0"/>
    <xf numFmtId="0" fontId="52" fillId="32" borderId="0" applyNumberFormat="0" applyBorder="0" applyAlignment="0" applyProtection="0"/>
    <xf numFmtId="0" fontId="5" fillId="0" borderId="0"/>
    <xf numFmtId="0" fontId="52" fillId="29" borderId="0" applyNumberFormat="0" applyBorder="0" applyAlignment="0" applyProtection="0"/>
    <xf numFmtId="0" fontId="51" fillId="24" borderId="0" applyNumberFormat="0" applyBorder="0" applyAlignment="0" applyProtection="0"/>
    <xf numFmtId="0" fontId="51" fillId="0" borderId="0"/>
    <xf numFmtId="0" fontId="62" fillId="0" borderId="17" applyNumberFormat="0" applyFill="0" applyAlignment="0" applyProtection="0"/>
    <xf numFmtId="0" fontId="6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2" fillId="33" borderId="0" applyNumberFormat="0" applyBorder="0" applyAlignment="0" applyProtection="0"/>
    <xf numFmtId="0" fontId="51" fillId="14" borderId="0" applyNumberFormat="0" applyBorder="0" applyAlignment="0" applyProtection="0"/>
    <xf numFmtId="0" fontId="51" fillId="20" borderId="0" applyNumberFormat="0" applyBorder="0" applyAlignment="0" applyProtection="0"/>
    <xf numFmtId="0" fontId="5" fillId="0" borderId="0"/>
    <xf numFmtId="0" fontId="51" fillId="22" borderId="0" applyNumberFormat="0" applyBorder="0" applyAlignment="0" applyProtection="0"/>
    <xf numFmtId="0" fontId="51" fillId="24" borderId="0" applyNumberFormat="0" applyBorder="0" applyAlignment="0" applyProtection="0"/>
    <xf numFmtId="0" fontId="57" fillId="11" borderId="0" applyNumberFormat="0" applyBorder="0" applyAlignment="0" applyProtection="0"/>
    <xf numFmtId="0" fontId="51" fillId="19" borderId="0" applyNumberFormat="0" applyBorder="0" applyAlignment="0" applyProtection="0"/>
    <xf numFmtId="0" fontId="52" fillId="25" borderId="0" applyNumberFormat="0" applyBorder="0" applyAlignment="0" applyProtection="0"/>
    <xf numFmtId="0" fontId="61" fillId="0" borderId="16" applyNumberFormat="0" applyFill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0" borderId="0"/>
    <xf numFmtId="0" fontId="23" fillId="6" borderId="14" applyNumberFormat="0" applyFont="0" applyAlignment="0" applyProtection="0"/>
    <xf numFmtId="0" fontId="51" fillId="16" borderId="0" applyNumberFormat="0" applyBorder="0" applyAlignment="0" applyProtection="0"/>
    <xf numFmtId="0" fontId="51" fillId="0" borderId="0"/>
    <xf numFmtId="0" fontId="51" fillId="0" borderId="0"/>
    <xf numFmtId="0" fontId="66" fillId="8" borderId="11" applyNumberFormat="0" applyAlignment="0" applyProtection="0"/>
    <xf numFmtId="0" fontId="52" fillId="36" borderId="0" applyNumberFormat="0" applyBorder="0" applyAlignment="0" applyProtection="0"/>
    <xf numFmtId="0" fontId="23" fillId="0" borderId="0"/>
    <xf numFmtId="0" fontId="52" fillId="27" borderId="0" applyNumberFormat="0" applyBorder="0" applyAlignment="0" applyProtection="0"/>
    <xf numFmtId="0" fontId="52" fillId="33" borderId="0" applyNumberFormat="0" applyBorder="0" applyAlignment="0" applyProtection="0"/>
    <xf numFmtId="0" fontId="52" fillId="28" borderId="0" applyNumberFormat="0" applyBorder="0" applyAlignment="0" applyProtection="0"/>
    <xf numFmtId="0" fontId="51" fillId="23" borderId="0" applyNumberFormat="0" applyBorder="0" applyAlignment="0" applyProtection="0"/>
    <xf numFmtId="0" fontId="57" fillId="11" borderId="0" applyNumberFormat="0" applyBorder="0" applyAlignment="0" applyProtection="0"/>
    <xf numFmtId="0" fontId="52" fillId="32" borderId="0" applyNumberFormat="0" applyBorder="0" applyAlignment="0" applyProtection="0"/>
    <xf numFmtId="0" fontId="59" fillId="10" borderId="0" applyNumberFormat="0" applyBorder="0" applyAlignment="0" applyProtection="0"/>
    <xf numFmtId="0" fontId="51" fillId="15" borderId="0" applyNumberFormat="0" applyBorder="0" applyAlignment="0" applyProtection="0"/>
    <xf numFmtId="0" fontId="52" fillId="35" borderId="0" applyNumberFormat="0" applyBorder="0" applyAlignment="0" applyProtection="0"/>
    <xf numFmtId="0" fontId="67" fillId="0" borderId="0" applyNumberFormat="0" applyFill="0" applyBorder="0" applyAlignment="0" applyProtection="0"/>
    <xf numFmtId="0" fontId="23" fillId="0" borderId="0"/>
    <xf numFmtId="0" fontId="51" fillId="15" borderId="0" applyNumberFormat="0" applyBorder="0" applyAlignment="0" applyProtection="0"/>
    <xf numFmtId="0" fontId="60" fillId="0" borderId="15" applyNumberFormat="0" applyFill="0" applyAlignment="0" applyProtection="0"/>
    <xf numFmtId="0" fontId="57" fillId="11" borderId="0" applyNumberFormat="0" applyBorder="0" applyAlignment="0" applyProtection="0"/>
    <xf numFmtId="0" fontId="52" fillId="31" borderId="0" applyNumberFormat="0" applyBorder="0" applyAlignment="0" applyProtection="0"/>
    <xf numFmtId="0" fontId="51" fillId="19" borderId="0" applyNumberFormat="0" applyBorder="0" applyAlignment="0" applyProtection="0"/>
    <xf numFmtId="0" fontId="56" fillId="0" borderId="0" applyNumberFormat="0" applyFill="0" applyBorder="0" applyAlignment="0" applyProtection="0"/>
    <xf numFmtId="0" fontId="52" fillId="34" borderId="0" applyNumberFormat="0" applyBorder="0" applyAlignment="0" applyProtection="0"/>
    <xf numFmtId="0" fontId="51" fillId="23" borderId="0" applyNumberFormat="0" applyBorder="0" applyAlignment="0" applyProtection="0"/>
    <xf numFmtId="0" fontId="51" fillId="18" borderId="0" applyNumberFormat="0" applyBorder="0" applyAlignment="0" applyProtection="0"/>
    <xf numFmtId="0" fontId="51" fillId="24" borderId="0" applyNumberFormat="0" applyBorder="0" applyAlignment="0" applyProtection="0"/>
    <xf numFmtId="0" fontId="51" fillId="17" borderId="0" applyNumberFormat="0" applyBorder="0" applyAlignment="0" applyProtection="0"/>
    <xf numFmtId="0" fontId="66" fillId="8" borderId="11" applyNumberFormat="0" applyAlignment="0" applyProtection="0"/>
    <xf numFmtId="0" fontId="51" fillId="16" borderId="0" applyNumberFormat="0" applyBorder="0" applyAlignment="0" applyProtection="0"/>
    <xf numFmtId="0" fontId="52" fillId="27" borderId="0" applyNumberFormat="0" applyBorder="0" applyAlignment="0" applyProtection="0"/>
    <xf numFmtId="0" fontId="58" fillId="8" borderId="10" applyNumberFormat="0" applyAlignment="0" applyProtection="0"/>
    <xf numFmtId="0" fontId="52" fillId="30" borderId="0" applyNumberFormat="0" applyBorder="0" applyAlignment="0" applyProtection="0"/>
    <xf numFmtId="0" fontId="52" fillId="26" borderId="0" applyNumberFormat="0" applyBorder="0" applyAlignment="0" applyProtection="0"/>
    <xf numFmtId="0" fontId="63" fillId="7" borderId="10" applyNumberFormat="0" applyAlignment="0" applyProtection="0"/>
    <xf numFmtId="0" fontId="51" fillId="18" borderId="0" applyNumberFormat="0" applyBorder="0" applyAlignment="0" applyProtection="0"/>
    <xf numFmtId="0" fontId="51" fillId="15" borderId="0" applyNumberFormat="0" applyBorder="0" applyAlignment="0" applyProtection="0"/>
    <xf numFmtId="0" fontId="52" fillId="30" borderId="0" applyNumberFormat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34" borderId="0" applyNumberFormat="0" applyBorder="0" applyAlignment="0" applyProtection="0"/>
    <xf numFmtId="0" fontId="51" fillId="20" borderId="0" applyNumberFormat="0" applyBorder="0" applyAlignment="0" applyProtection="0"/>
    <xf numFmtId="0" fontId="64" fillId="0" borderId="12" applyNumberFormat="0" applyFill="0" applyAlignment="0" applyProtection="0"/>
    <xf numFmtId="0" fontId="68" fillId="0" borderId="0">
      <alignment vertical="center"/>
    </xf>
    <xf numFmtId="0" fontId="69" fillId="0" borderId="0"/>
    <xf numFmtId="0" fontId="23" fillId="0" borderId="0">
      <protection locked="0"/>
    </xf>
    <xf numFmtId="43" fontId="5" fillId="0" borderId="0" applyFont="0" applyFill="0" applyBorder="0" applyAlignment="0" applyProtection="0"/>
    <xf numFmtId="0" fontId="71" fillId="0" borderId="0">
      <alignment vertical="top"/>
      <protection locked="0"/>
    </xf>
    <xf numFmtId="0" fontId="71" fillId="0" borderId="0">
      <alignment vertical="top"/>
      <protection locked="0"/>
    </xf>
    <xf numFmtId="0" fontId="71" fillId="0" borderId="0">
      <alignment vertical="center"/>
    </xf>
    <xf numFmtId="0" fontId="70" fillId="0" borderId="0"/>
    <xf numFmtId="0" fontId="70" fillId="0" borderId="0">
      <protection locked="0"/>
    </xf>
    <xf numFmtId="0" fontId="5" fillId="0" borderId="0"/>
    <xf numFmtId="0" fontId="72" fillId="0" borderId="0"/>
    <xf numFmtId="0" fontId="5" fillId="0" borderId="0"/>
    <xf numFmtId="0" fontId="68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5" fillId="0" borderId="0">
      <alignment vertical="center"/>
    </xf>
    <xf numFmtId="0" fontId="76" fillId="0" borderId="0">
      <protection locked="0"/>
    </xf>
    <xf numFmtId="0" fontId="75" fillId="0" borderId="0">
      <protection locked="0"/>
    </xf>
    <xf numFmtId="0" fontId="77" fillId="0" borderId="0">
      <protection locked="0"/>
    </xf>
    <xf numFmtId="0" fontId="80" fillId="0" borderId="0"/>
    <xf numFmtId="0" fontId="78" fillId="0" borderId="0"/>
    <xf numFmtId="0" fontId="79" fillId="0" borderId="0" applyNumberFormat="0" applyFill="0" applyBorder="0" applyAlignment="0" applyProtection="0">
      <alignment vertical="center"/>
    </xf>
    <xf numFmtId="0" fontId="72" fillId="0" borderId="0"/>
    <xf numFmtId="0" fontId="5" fillId="0" borderId="0"/>
    <xf numFmtId="0" fontId="5" fillId="0" borderId="0"/>
  </cellStyleXfs>
  <cellXfs count="10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0" fillId="0" borderId="7" xfId="5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7" fillId="0" borderId="7" xfId="0" applyFont="1" applyFill="1" applyBorder="1" applyAlignment="1">
      <alignment horizontal="center" vertical="center"/>
    </xf>
    <xf numFmtId="0" fontId="0" fillId="0" borderId="0" xfId="0"/>
    <xf numFmtId="0" fontId="7" fillId="0" borderId="7" xfId="0" applyFont="1" applyFill="1" applyBorder="1" applyAlignment="1">
      <alignment horizontal="center" vertical="center"/>
    </xf>
    <xf numFmtId="0" fontId="0" fillId="0" borderId="0" xfId="0"/>
    <xf numFmtId="0" fontId="24" fillId="0" borderId="1" xfId="3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0" fillId="0" borderId="0" xfId="0"/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5" fillId="5" borderId="1" xfId="0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46" fillId="0" borderId="9" xfId="120" applyFont="1" applyBorder="1" applyAlignment="1">
      <alignment horizontal="center" vertical="center" wrapText="1"/>
    </xf>
    <xf numFmtId="0" fontId="46" fillId="0" borderId="9" xfId="12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2" fillId="0" borderId="1" xfId="30" applyFont="1" applyBorder="1" applyAlignment="1">
      <alignment horizontal="center" vertical="center"/>
    </xf>
    <xf numFmtId="18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4" fillId="0" borderId="1" xfId="30" applyFont="1" applyFill="1" applyBorder="1" applyAlignment="1">
      <alignment horizontal="center" vertical="center"/>
    </xf>
    <xf numFmtId="0" fontId="24" fillId="0" borderId="4" xfId="30" applyFont="1" applyBorder="1" applyAlignment="1">
      <alignment horizontal="center" vertical="center"/>
    </xf>
    <xf numFmtId="0" fontId="24" fillId="0" borderId="5" xfId="30" applyFont="1" applyBorder="1" applyAlignment="1">
      <alignment horizontal="center" vertical="center"/>
    </xf>
    <xf numFmtId="0" fontId="24" fillId="0" borderId="1" xfId="30" applyFont="1" applyBorder="1" applyAlignment="1">
      <alignment horizontal="center" vertical="center" wrapText="1"/>
    </xf>
    <xf numFmtId="0" fontId="26" fillId="0" borderId="1" xfId="3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333">
    <cellStyle name="20% - Accent1 2" xfId="265"/>
    <cellStyle name="20% - Accent1 2 2" xfId="294"/>
    <cellStyle name="20% - Accent1 2 3" xfId="220"/>
    <cellStyle name="20% - Accent2 2" xfId="190"/>
    <cellStyle name="20% - Accent2 2 2" xfId="235"/>
    <cellStyle name="20% - Accent2 2 3" xfId="292"/>
    <cellStyle name="20% - Accent3 2" xfId="200"/>
    <cellStyle name="20% - Accent3 2 2" xfId="202"/>
    <cellStyle name="20% - Accent3 2 3" xfId="261"/>
    <cellStyle name="20% - Accent4 2" xfId="195"/>
    <cellStyle name="20% - Accent4 2 2" xfId="290"/>
    <cellStyle name="20% - Accent4 2 3" xfId="300"/>
    <cellStyle name="20% - Accent5 2" xfId="175"/>
    <cellStyle name="20% - Accent5 2 2" xfId="252"/>
    <cellStyle name="20% - Accent5 2 3" xfId="262"/>
    <cellStyle name="20% - Accent6 2" xfId="286"/>
    <cellStyle name="20% - Accent6 2 2" xfId="214"/>
    <cellStyle name="20% - Accent6 2 3" xfId="258"/>
    <cellStyle name="40% - Accent1 2" xfId="201"/>
    <cellStyle name="40% - Accent1 2 2" xfId="253"/>
    <cellStyle name="40% - Accent1 2 3" xfId="306"/>
    <cellStyle name="40% - Accent2 2" xfId="218"/>
    <cellStyle name="40% - Accent2 2 2" xfId="216"/>
    <cellStyle name="40% - Accent2 2 3" xfId="209"/>
    <cellStyle name="40% - Accent3 2" xfId="255"/>
    <cellStyle name="40% - Accent3 2 2" xfId="177"/>
    <cellStyle name="40% - Accent3 2 3" xfId="199"/>
    <cellStyle name="40% - Accent4 2" xfId="289"/>
    <cellStyle name="40% - Accent4 2 2" xfId="185"/>
    <cellStyle name="40% - Accent4 2 3" xfId="274"/>
    <cellStyle name="40% - Accent5 2" xfId="246"/>
    <cellStyle name="40% - Accent5 2 2" xfId="256"/>
    <cellStyle name="40% - Accent5 2 3" xfId="291"/>
    <cellStyle name="40% - Accent6 2" xfId="282"/>
    <cellStyle name="40% - Accent6 2 2" xfId="278"/>
    <cellStyle name="40% - Accent6 2 3" xfId="301"/>
    <cellStyle name="60% - Accent1 2" xfId="259"/>
    <cellStyle name="60% - Accent1 2 2" xfId="217"/>
    <cellStyle name="60% - Accent1 2 3" xfId="223"/>
    <cellStyle name="60% - Accent2 2" xfId="231"/>
    <cellStyle name="60% - Accent2 2 2" xfId="232"/>
    <cellStyle name="60% - Accent2 2 3" xfId="298"/>
    <cellStyle name="60% - Accent3 2" xfId="295"/>
    <cellStyle name="60% - Accent3 2 2" xfId="237"/>
    <cellStyle name="60% - Accent3 2 3" xfId="271"/>
    <cellStyle name="60% - Accent4 2" xfId="273"/>
    <cellStyle name="60% - Accent4 2 2" xfId="187"/>
    <cellStyle name="60% - Accent4 2 3" xfId="207"/>
    <cellStyle name="60% - Accent5 2" xfId="196"/>
    <cellStyle name="60% - Accent5 2 2" xfId="245"/>
    <cellStyle name="60% - Accent5 2 3" xfId="210"/>
    <cellStyle name="60% - Accent6 2" xfId="236"/>
    <cellStyle name="60% - Accent6 2 2" xfId="302"/>
    <cellStyle name="60% - Accent6 2 3" xfId="297"/>
    <cellStyle name="Accent1 2" xfId="194"/>
    <cellStyle name="Accent1 2 2" xfId="285"/>
    <cellStyle name="Accent1 2 3" xfId="233"/>
    <cellStyle name="Accent2 2" xfId="276"/>
    <cellStyle name="Accent2 2 2" xfId="212"/>
    <cellStyle name="Accent2 2 3" xfId="243"/>
    <cellStyle name="Accent3 2" xfId="251"/>
    <cellStyle name="Accent3 2 2" xfId="272"/>
    <cellStyle name="Accent3 2 3" xfId="208"/>
    <cellStyle name="Accent4 2" xfId="288"/>
    <cellStyle name="Accent4 2 2" xfId="305"/>
    <cellStyle name="Accent4 2 3" xfId="178"/>
    <cellStyle name="Accent5 2" xfId="234"/>
    <cellStyle name="Accent5 2 2" xfId="279"/>
    <cellStyle name="Accent5 2 3" xfId="186"/>
    <cellStyle name="Accent6 2" xfId="192"/>
    <cellStyle name="Accent6 2 2" xfId="269"/>
    <cellStyle name="Accent6 2 3" xfId="203"/>
    <cellStyle name="Bad 2" xfId="257"/>
    <cellStyle name="Bad 2 2" xfId="284"/>
    <cellStyle name="Bad 2 3" xfId="275"/>
    <cellStyle name="Calculation 2" xfId="296"/>
    <cellStyle name="Calculation 2 2" xfId="227"/>
    <cellStyle name="Calculation 2 3" xfId="191"/>
    <cellStyle name="Check Cell 2" xfId="211"/>
    <cellStyle name="Check Cell 2 2" xfId="184"/>
    <cellStyle name="Check Cell 2 3" xfId="213"/>
    <cellStyle name="Comma 2" xfId="311"/>
    <cellStyle name="Explanatory Text 2" xfId="221"/>
    <cellStyle name="Explanatory Text 2 2" xfId="304"/>
    <cellStyle name="Good 2" xfId="277"/>
    <cellStyle name="Good 2 2" xfId="197"/>
    <cellStyle name="Good 2 3" xfId="205"/>
    <cellStyle name="Heading 1 2" xfId="183"/>
    <cellStyle name="Heading 1 2 2" xfId="283"/>
    <cellStyle name="Heading 2 2" xfId="179"/>
    <cellStyle name="Heading 2 2 2" xfId="260"/>
    <cellStyle name="Heading 3 2" xfId="226"/>
    <cellStyle name="Heading 3 2 2" xfId="248"/>
    <cellStyle name="Heading 4 2" xfId="240"/>
    <cellStyle name="Heading 4 2 2" xfId="249"/>
    <cellStyle name="Hyperlink" xfId="1" builtinId="8"/>
    <cellStyle name="Hyperlink 10" xfId="65"/>
    <cellStyle name="Hyperlink 10 2" xfId="112"/>
    <cellStyle name="Hyperlink 10 3" xfId="123"/>
    <cellStyle name="Hyperlink 10 3 2" xfId="149"/>
    <cellStyle name="Hyperlink 10 4" xfId="166"/>
    <cellStyle name="Hyperlink 11" xfId="109"/>
    <cellStyle name="Hyperlink 11 2" xfId="118"/>
    <cellStyle name="Hyperlink 11 3" xfId="129"/>
    <cellStyle name="Hyperlink 11 3 2" xfId="155"/>
    <cellStyle name="Hyperlink 11 4" xfId="169"/>
    <cellStyle name="Hyperlink 11 5" xfId="314"/>
    <cellStyle name="Hyperlink 12" xfId="140"/>
    <cellStyle name="Hyperlink 12 2" xfId="157"/>
    <cellStyle name="Hyperlink 13" xfId="162"/>
    <cellStyle name="Hyperlink 14" xfId="312"/>
    <cellStyle name="Hyperlink 15" xfId="322"/>
    <cellStyle name="Hyperlink 16" xfId="324"/>
    <cellStyle name="Hyperlink 17" xfId="329"/>
    <cellStyle name="Hyperlink 2" xfId="3"/>
    <cellStyle name="Hyperlink 2 2" xfId="4"/>
    <cellStyle name="Hyperlink 2 2 2" xfId="42"/>
    <cellStyle name="Hyperlink 2 2 2 2" xfId="82"/>
    <cellStyle name="Hyperlink 2 3" xfId="9"/>
    <cellStyle name="Hyperlink 2 3 2" xfId="24"/>
    <cellStyle name="Hyperlink 2 3 2 2" xfId="48"/>
    <cellStyle name="Hyperlink 2 3 2 2 2" xfId="88"/>
    <cellStyle name="Hyperlink 3" xfId="6"/>
    <cellStyle name="Hyperlink 3 2" xfId="21"/>
    <cellStyle name="Hyperlink 3 2 2" xfId="45"/>
    <cellStyle name="Hyperlink 3 2 2 2" xfId="85"/>
    <cellStyle name="Hyperlink 3 2 3" xfId="72"/>
    <cellStyle name="Hyperlink 3 3" xfId="41"/>
    <cellStyle name="Hyperlink 3 3 2" xfId="81"/>
    <cellStyle name="Hyperlink 3 4" xfId="313"/>
    <cellStyle name="Hyperlink 4" xfId="8"/>
    <cellStyle name="Hyperlink 4 2" xfId="23"/>
    <cellStyle name="Hyperlink 4 2 2" xfId="36"/>
    <cellStyle name="Hyperlink 4 2 2 2" xfId="77"/>
    <cellStyle name="Hyperlink 5" xfId="11"/>
    <cellStyle name="Hyperlink 5 2" xfId="26"/>
    <cellStyle name="Hyperlink 5 2 2" xfId="38"/>
    <cellStyle name="Hyperlink 5 2 2 2" xfId="78"/>
    <cellStyle name="Hyperlink 5 2 3" xfId="73"/>
    <cellStyle name="Hyperlink 5 3" xfId="44"/>
    <cellStyle name="Hyperlink 5 3 2" xfId="84"/>
    <cellStyle name="Hyperlink 6" xfId="13"/>
    <cellStyle name="Hyperlink 6 2" xfId="28"/>
    <cellStyle name="Hyperlink 6 2 2" xfId="49"/>
    <cellStyle name="Hyperlink 6 2 2 2" xfId="89"/>
    <cellStyle name="Hyperlink 6 2 3" xfId="75"/>
    <cellStyle name="Hyperlink 6 3" xfId="67"/>
    <cellStyle name="Hyperlink 7" xfId="15"/>
    <cellStyle name="Hyperlink 7 2" xfId="47"/>
    <cellStyle name="Hyperlink 7 2 2" xfId="87"/>
    <cellStyle name="Hyperlink 7 3" xfId="68"/>
    <cellStyle name="Hyperlink 8" xfId="17"/>
    <cellStyle name="Hyperlink 8 2" xfId="46"/>
    <cellStyle name="Hyperlink 8 2 2" xfId="86"/>
    <cellStyle name="Hyperlink 8 3" xfId="70"/>
    <cellStyle name="Hyperlink 9" xfId="29"/>
    <cellStyle name="Hyperlink 9 2" xfId="35"/>
    <cellStyle name="Hyperlink 9 2 2" xfId="76"/>
    <cellStyle name="Hyperlink 9 3" xfId="43"/>
    <cellStyle name="Hyperlink 9 3 2" xfId="83"/>
    <cellStyle name="Input 2" xfId="299"/>
    <cellStyle name="Input 2 2" xfId="239"/>
    <cellStyle name="Input 2 3" xfId="171"/>
    <cellStyle name="Linked Cell 2" xfId="307"/>
    <cellStyle name="Linked Cell 2 2" xfId="228"/>
    <cellStyle name="Neutral 2" xfId="215"/>
    <cellStyle name="Neutral 2 2" xfId="181"/>
    <cellStyle name="Neutral 2 3" xfId="182"/>
    <cellStyle name="Normal" xfId="0" builtinId="0"/>
    <cellStyle name="Normal 10" xfId="120"/>
    <cellStyle name="Normal 10 2" xfId="137"/>
    <cellStyle name="Normal 10 2 2" xfId="156"/>
    <cellStyle name="Normal 10 2 3" xfId="180"/>
    <cellStyle name="Normal 10 3" xfId="138"/>
    <cellStyle name="Normal 10 4" xfId="160"/>
    <cellStyle name="Normal 10 4 2" xfId="164"/>
    <cellStyle name="Normal 10 5" xfId="165"/>
    <cellStyle name="Normal 10 6" xfId="224"/>
    <cellStyle name="Normal 10 7" xfId="310"/>
    <cellStyle name="Normal 11" xfId="121"/>
    <cellStyle name="Normal 11 2" xfId="281"/>
    <cellStyle name="Normal 11 7" xfId="318"/>
    <cellStyle name="Normal 12" xfId="146"/>
    <cellStyle name="Normal 12 2" xfId="159"/>
    <cellStyle name="Normal 12 3" xfId="193"/>
    <cellStyle name="Normal 13" xfId="163"/>
    <cellStyle name="Normal 13 2" xfId="241"/>
    <cellStyle name="Normal 14" xfId="225"/>
    <cellStyle name="Normal 15" xfId="308"/>
    <cellStyle name="Normal 153" xfId="317"/>
    <cellStyle name="Normal 16" xfId="309"/>
    <cellStyle name="Normal 17" xfId="315"/>
    <cellStyle name="Normal 18" xfId="323"/>
    <cellStyle name="Normal 19" xfId="328"/>
    <cellStyle name="Normal 2" xfId="2"/>
    <cellStyle name="Normal 2 2" xfId="10"/>
    <cellStyle name="Normal 2 2 2" xfId="25"/>
    <cellStyle name="Normal 2 2 2 2" xfId="50"/>
    <cellStyle name="Normal 2 2 2 2 2" xfId="90"/>
    <cellStyle name="Normal 2 2 3" xfId="32"/>
    <cellStyle name="Normal 2 2 3 2" xfId="51"/>
    <cellStyle name="Normal 2 2 3 2 2" xfId="91"/>
    <cellStyle name="Normal 2 3" xfId="31"/>
    <cellStyle name="Normal 2 3 2" xfId="52"/>
    <cellStyle name="Normal 2 3 2 2" xfId="92"/>
    <cellStyle name="Normal 2 3 3" xfId="206"/>
    <cellStyle name="Normal 236" xfId="331"/>
    <cellStyle name="Normal 3" xfId="5"/>
    <cellStyle name="Normal 3 2" xfId="18"/>
    <cellStyle name="Normal 3 2 2" xfId="39"/>
    <cellStyle name="Normal 3 2 2 2" xfId="79"/>
    <cellStyle name="Normal 3 2 2 3" xfId="222"/>
    <cellStyle name="Normal 3 2 3" xfId="54"/>
    <cellStyle name="Normal 3 2 3 2" xfId="94"/>
    <cellStyle name="Normal 3 2 4" xfId="141"/>
    <cellStyle name="Normal 3 2 4 2" xfId="158"/>
    <cellStyle name="Normal 3 3" xfId="20"/>
    <cellStyle name="Normal 3 3 2" xfId="55"/>
    <cellStyle name="Normal 3 3 2 2" xfId="95"/>
    <cellStyle name="Normal 3 3 3" xfId="71"/>
    <cellStyle name="Normal 3 4" xfId="53"/>
    <cellStyle name="Normal 3 4 2" xfId="93"/>
    <cellStyle name="Normal 3 5" xfId="105"/>
    <cellStyle name="Normal 3 5 2" xfId="114"/>
    <cellStyle name="Normal 3 5 3" xfId="125"/>
    <cellStyle name="Normal 3 5 3 2" xfId="151"/>
    <cellStyle name="Normal 3 5 4" xfId="167"/>
    <cellStyle name="Normal 3 6" xfId="254"/>
    <cellStyle name="Normal 3 6 2" xfId="330"/>
    <cellStyle name="Normal 3 7" xfId="320"/>
    <cellStyle name="Normal 3 8" xfId="325"/>
    <cellStyle name="Normal 328" xfId="14"/>
    <cellStyle name="Normal 328 2" xfId="56"/>
    <cellStyle name="Normal 328 2 2" xfId="96"/>
    <cellStyle name="Normal 331" xfId="37"/>
    <cellStyle name="Normal 333" xfId="110"/>
    <cellStyle name="Normal 337" xfId="119"/>
    <cellStyle name="Normal 339" xfId="130"/>
    <cellStyle name="Normal 34" xfId="332"/>
    <cellStyle name="Normal 340" xfId="131"/>
    <cellStyle name="Normal 343" xfId="132"/>
    <cellStyle name="Normal 345" xfId="134"/>
    <cellStyle name="Normal 347" xfId="135"/>
    <cellStyle name="Normal 351" xfId="139"/>
    <cellStyle name="Normal 357" xfId="142"/>
    <cellStyle name="Normal 358" xfId="143"/>
    <cellStyle name="Normal 360" xfId="144"/>
    <cellStyle name="Normal 377" xfId="319"/>
    <cellStyle name="Normal 4" xfId="7"/>
    <cellStyle name="Normal 4 2" xfId="22"/>
    <cellStyle name="Normal 4 2 2" xfId="34"/>
    <cellStyle name="Normal 4 2 2 2" xfId="58"/>
    <cellStyle name="Normal 4 2 2 2 2" xfId="98"/>
    <cellStyle name="Normal 4 2 3" xfId="57"/>
    <cellStyle name="Normal 4 2 3 2" xfId="97"/>
    <cellStyle name="Normal 4 2 4" xfId="263"/>
    <cellStyle name="Normal 4 3" xfId="33"/>
    <cellStyle name="Normal 4 3 2" xfId="59"/>
    <cellStyle name="Normal 4 3 2 2" xfId="99"/>
    <cellStyle name="Normal 5" xfId="12"/>
    <cellStyle name="Normal 5 2" xfId="27"/>
    <cellStyle name="Normal 5 2 2" xfId="60"/>
    <cellStyle name="Normal 5 2 2 2" xfId="100"/>
    <cellStyle name="Normal 5 2 3" xfId="74"/>
    <cellStyle name="Normal 5 2 4" xfId="247"/>
    <cellStyle name="Normal 5 3" xfId="66"/>
    <cellStyle name="Normal 5 4" xfId="244"/>
    <cellStyle name="Normal 6" xfId="16"/>
    <cellStyle name="Normal 6 2" xfId="19"/>
    <cellStyle name="Normal 6 2 2" xfId="40"/>
    <cellStyle name="Normal 6 2 2 2" xfId="80"/>
    <cellStyle name="Normal 6 2 3" xfId="62"/>
    <cellStyle name="Normal 6 2 3 2" xfId="102"/>
    <cellStyle name="Normal 6 2 4" xfId="267"/>
    <cellStyle name="Normal 6 2 5" xfId="316"/>
    <cellStyle name="Normal 6 3" xfId="61"/>
    <cellStyle name="Normal 6 3 2" xfId="101"/>
    <cellStyle name="Normal 6 4" xfId="69"/>
    <cellStyle name="Normal 6 5" xfId="106"/>
    <cellStyle name="Normal 6 5 2" xfId="115"/>
    <cellStyle name="Normal 6 5 3" xfId="126"/>
    <cellStyle name="Normal 6 5 3 2" xfId="152"/>
    <cellStyle name="Normal 6 5 4" xfId="170"/>
    <cellStyle name="Normal 6 6" xfId="189"/>
    <cellStyle name="Normal 60" xfId="145"/>
    <cellStyle name="Normal 60 2" xfId="147"/>
    <cellStyle name="Normal 7" xfId="30"/>
    <cellStyle name="Normal 7 2" xfId="63"/>
    <cellStyle name="Normal 7 2 2" xfId="103"/>
    <cellStyle name="Normal 7 2 3" xfId="238"/>
    <cellStyle name="Normal 7 3" xfId="64"/>
    <cellStyle name="Normal 7 3 2" xfId="111"/>
    <cellStyle name="Normal 7 3 3" xfId="122"/>
    <cellStyle name="Normal 7 3 3 2" xfId="148"/>
    <cellStyle name="Normal 7 3 4" xfId="172"/>
    <cellStyle name="Normal 7 3 5" xfId="204"/>
    <cellStyle name="Normal 7 4" xfId="108"/>
    <cellStyle name="Normal 7 4 2" xfId="117"/>
    <cellStyle name="Normal 7 4 3" xfId="128"/>
    <cellStyle name="Normal 7 4 3 2" xfId="154"/>
    <cellStyle name="Normal 7 4 4" xfId="173"/>
    <cellStyle name="Normal 7 5" xfId="133"/>
    <cellStyle name="Normal 7 6" xfId="161"/>
    <cellStyle name="Normal 7 7" xfId="321"/>
    <cellStyle name="Normal 7 8" xfId="326"/>
    <cellStyle name="Normal 7 9" xfId="327"/>
    <cellStyle name="Normal 8" xfId="104"/>
    <cellStyle name="Normal 8 2" xfId="113"/>
    <cellStyle name="Normal 8 2 2" xfId="266"/>
    <cellStyle name="Normal 8 3" xfId="124"/>
    <cellStyle name="Normal 8 3 2" xfId="150"/>
    <cellStyle name="Normal 8 4" xfId="176"/>
    <cellStyle name="Normal 8 5" xfId="174"/>
    <cellStyle name="Normal 9" xfId="107"/>
    <cellStyle name="Normal 9 2" xfId="116"/>
    <cellStyle name="Normal 9 2 2" xfId="270"/>
    <cellStyle name="Normal 9 3" xfId="127"/>
    <cellStyle name="Normal 9 3 2" xfId="153"/>
    <cellStyle name="Normal 9 4" xfId="168"/>
    <cellStyle name="Normal 93" xfId="136"/>
    <cellStyle name="Note 2" xfId="219"/>
    <cellStyle name="Note 2 2" xfId="229"/>
    <cellStyle name="Note 2 3" xfId="264"/>
    <cellStyle name="Output 2" xfId="293"/>
    <cellStyle name="Output 2 2" xfId="268"/>
    <cellStyle name="Output 2 3" xfId="242"/>
    <cellStyle name="Title 2" xfId="250"/>
    <cellStyle name="Title 2 2" xfId="280"/>
    <cellStyle name="Title 2 3" xfId="198"/>
    <cellStyle name="Total 2" xfId="188"/>
    <cellStyle name="Total 2 2" xfId="230"/>
    <cellStyle name="Warning Text 2" xfId="287"/>
    <cellStyle name="Warning Text 2 2" xfId="30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4"/>
  <sheetViews>
    <sheetView workbookViewId="0">
      <selection activeCell="M16" sqref="M16:P16"/>
    </sheetView>
  </sheetViews>
  <sheetFormatPr defaultRowHeight="14.5" x14ac:dyDescent="0.35"/>
  <cols>
    <col min="1" max="1" width="3.26953125" bestFit="1" customWidth="1"/>
    <col min="2" max="2" width="8.81640625" customWidth="1"/>
    <col min="3" max="3" width="5.26953125" bestFit="1" customWidth="1"/>
    <col min="4" max="4" width="6.453125" bestFit="1" customWidth="1"/>
    <col min="5" max="5" width="5.453125" bestFit="1" customWidth="1"/>
    <col min="6" max="6" width="8.453125" customWidth="1"/>
    <col min="7" max="7" width="8.54296875" customWidth="1"/>
    <col min="8" max="9" width="5.81640625" customWidth="1"/>
    <col min="10" max="10" width="11.54296875" customWidth="1"/>
    <col min="11" max="11" width="9" customWidth="1"/>
    <col min="12" max="12" width="7.26953125" customWidth="1"/>
  </cols>
  <sheetData>
    <row r="2" spans="1:17" ht="23.25" customHeight="1" x14ac:dyDescent="0.35">
      <c r="A2" s="80" t="s">
        <v>80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7" ht="15" customHeight="1" x14ac:dyDescent="0.35">
      <c r="A3" s="82" t="s">
        <v>0</v>
      </c>
      <c r="B3" s="81" t="s">
        <v>38</v>
      </c>
      <c r="C3" s="81" t="s">
        <v>1</v>
      </c>
      <c r="D3" s="81"/>
      <c r="E3" s="81"/>
      <c r="F3" s="81" t="s">
        <v>2</v>
      </c>
      <c r="G3" s="81" t="s">
        <v>3</v>
      </c>
      <c r="H3" s="81" t="s">
        <v>35</v>
      </c>
      <c r="I3" s="81" t="s">
        <v>36</v>
      </c>
      <c r="J3" s="85" t="s">
        <v>37</v>
      </c>
      <c r="K3" s="85"/>
      <c r="L3" s="85"/>
      <c r="Q3" s="31"/>
    </row>
    <row r="4" spans="1:17" ht="12.75" customHeight="1" x14ac:dyDescent="0.35">
      <c r="A4" s="83"/>
      <c r="B4" s="81"/>
      <c r="C4" s="81"/>
      <c r="D4" s="81"/>
      <c r="E4" s="81"/>
      <c r="F4" s="81"/>
      <c r="G4" s="81"/>
      <c r="H4" s="81"/>
      <c r="I4" s="81"/>
      <c r="J4" s="81" t="s">
        <v>55</v>
      </c>
      <c r="K4" s="81" t="s">
        <v>56</v>
      </c>
      <c r="L4" s="81" t="s">
        <v>72</v>
      </c>
      <c r="Q4" s="32"/>
    </row>
    <row r="5" spans="1:17" ht="21.75" customHeight="1" x14ac:dyDescent="0.35">
      <c r="A5" s="84"/>
      <c r="B5" s="81"/>
      <c r="C5" s="5" t="s">
        <v>4</v>
      </c>
      <c r="D5" s="5" t="s">
        <v>5</v>
      </c>
      <c r="E5" s="5" t="s">
        <v>6</v>
      </c>
      <c r="F5" s="81"/>
      <c r="G5" s="81"/>
      <c r="H5" s="81"/>
      <c r="I5" s="81"/>
      <c r="J5" s="81"/>
      <c r="K5" s="81"/>
      <c r="L5" s="81"/>
    </row>
    <row r="6" spans="1:17" x14ac:dyDescent="0.35">
      <c r="A6" s="1">
        <v>1</v>
      </c>
      <c r="B6" s="1" t="s">
        <v>7</v>
      </c>
      <c r="C6" s="72"/>
      <c r="D6" s="72"/>
      <c r="E6" s="72"/>
      <c r="F6" s="72"/>
      <c r="G6" s="72"/>
      <c r="H6" s="69"/>
      <c r="I6" s="69"/>
      <c r="J6" s="69"/>
      <c r="K6" s="69"/>
      <c r="L6" s="72"/>
      <c r="M6" s="59"/>
    </row>
    <row r="7" spans="1:17" x14ac:dyDescent="0.35">
      <c r="A7" s="1">
        <v>2</v>
      </c>
      <c r="B7" s="1" t="s">
        <v>8</v>
      </c>
      <c r="C7" s="67"/>
      <c r="D7" s="67"/>
      <c r="E7" s="67"/>
      <c r="F7" s="67"/>
      <c r="G7" s="67"/>
      <c r="H7" s="69"/>
      <c r="I7" s="69"/>
      <c r="J7" s="69"/>
      <c r="K7" s="69"/>
      <c r="L7" s="69"/>
    </row>
    <row r="8" spans="1:17" ht="21" x14ac:dyDescent="0.35">
      <c r="A8" s="30">
        <v>3</v>
      </c>
      <c r="B8" s="1" t="s">
        <v>9</v>
      </c>
      <c r="C8" s="72"/>
      <c r="D8" s="72"/>
      <c r="E8" s="72"/>
      <c r="F8" s="72"/>
      <c r="G8" s="72"/>
      <c r="H8" s="72"/>
      <c r="I8" s="72"/>
      <c r="J8" s="72"/>
      <c r="K8" s="72"/>
      <c r="L8" s="72"/>
    </row>
    <row r="9" spans="1:17" x14ac:dyDescent="0.35">
      <c r="A9" s="30">
        <v>4</v>
      </c>
      <c r="B9" s="1" t="s">
        <v>10</v>
      </c>
      <c r="C9" s="67"/>
      <c r="D9" s="67"/>
      <c r="E9" s="67"/>
      <c r="F9" s="67"/>
      <c r="G9" s="67"/>
      <c r="H9" s="69"/>
      <c r="I9" s="69"/>
      <c r="J9" s="69"/>
      <c r="K9" s="69"/>
      <c r="L9" s="69"/>
    </row>
    <row r="10" spans="1:17" x14ac:dyDescent="0.35">
      <c r="A10" s="30">
        <v>5</v>
      </c>
      <c r="B10" s="1" t="s">
        <v>29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38"/>
    </row>
    <row r="11" spans="1:17" x14ac:dyDescent="0.35">
      <c r="A11" s="30">
        <v>6</v>
      </c>
      <c r="B11" s="1" t="s">
        <v>11</v>
      </c>
      <c r="C11" s="69"/>
      <c r="D11" s="69"/>
      <c r="E11" s="69"/>
      <c r="F11" s="69"/>
      <c r="G11" s="69"/>
      <c r="H11" s="69"/>
      <c r="I11" s="69"/>
      <c r="J11" s="69"/>
      <c r="K11" s="67"/>
      <c r="L11" s="67"/>
    </row>
    <row r="12" spans="1:17" x14ac:dyDescent="0.35">
      <c r="A12" s="30">
        <v>7</v>
      </c>
      <c r="B12" s="1" t="s">
        <v>12</v>
      </c>
      <c r="C12" s="69"/>
      <c r="D12" s="69"/>
      <c r="E12" s="69"/>
      <c r="F12" s="69"/>
      <c r="G12" s="69"/>
      <c r="H12" s="69"/>
      <c r="I12" s="69"/>
      <c r="J12" s="69"/>
      <c r="K12" s="69"/>
      <c r="L12" s="67"/>
    </row>
    <row r="13" spans="1:17" x14ac:dyDescent="0.35">
      <c r="A13" s="30">
        <v>8</v>
      </c>
      <c r="B13" s="1" t="s">
        <v>13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7" x14ac:dyDescent="0.35">
      <c r="A14" s="30">
        <v>9</v>
      </c>
      <c r="B14" s="1" t="s">
        <v>14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</row>
    <row r="15" spans="1:17" s="32" customFormat="1" x14ac:dyDescent="0.35">
      <c r="A15" s="30">
        <v>10</v>
      </c>
      <c r="B15" s="30" t="s">
        <v>74</v>
      </c>
      <c r="C15" s="67"/>
      <c r="D15" s="67"/>
      <c r="E15" s="67"/>
      <c r="F15" s="67"/>
      <c r="G15" s="67"/>
      <c r="H15" s="69"/>
      <c r="I15" s="69"/>
      <c r="J15" s="69"/>
      <c r="K15" s="69"/>
      <c r="L15" s="69"/>
      <c r="M15" s="48"/>
    </row>
    <row r="16" spans="1:17" x14ac:dyDescent="0.35">
      <c r="A16" s="30">
        <v>11</v>
      </c>
      <c r="B16" s="1" t="s">
        <v>15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88"/>
      <c r="N16" s="88"/>
      <c r="O16" s="88"/>
      <c r="P16" s="88"/>
    </row>
    <row r="17" spans="1:15" x14ac:dyDescent="0.35">
      <c r="A17" s="30">
        <v>12</v>
      </c>
      <c r="B17" s="10" t="s">
        <v>16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</row>
    <row r="18" spans="1:15" x14ac:dyDescent="0.35">
      <c r="A18" s="30">
        <v>13</v>
      </c>
      <c r="B18" s="1" t="s">
        <v>17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1:15" x14ac:dyDescent="0.35">
      <c r="A19" s="30">
        <v>14</v>
      </c>
      <c r="B19" s="1" t="s">
        <v>18</v>
      </c>
      <c r="C19" s="64"/>
      <c r="D19" s="64"/>
      <c r="E19" s="64"/>
      <c r="F19" s="64"/>
      <c r="G19" s="64"/>
      <c r="H19" s="64"/>
      <c r="I19" s="64"/>
      <c r="J19" s="64"/>
      <c r="K19" s="64"/>
      <c r="L19" s="63"/>
    </row>
    <row r="20" spans="1:15" x14ac:dyDescent="0.35">
      <c r="A20" s="30">
        <v>15</v>
      </c>
      <c r="B20" s="10" t="s">
        <v>19</v>
      </c>
      <c r="C20" s="69"/>
      <c r="D20" s="69"/>
      <c r="E20" s="69"/>
      <c r="F20" s="69"/>
      <c r="G20" s="69"/>
      <c r="H20" s="69"/>
      <c r="I20" s="69"/>
      <c r="J20" s="69"/>
      <c r="K20" s="69"/>
      <c r="L20" s="67"/>
    </row>
    <row r="21" spans="1:15" x14ac:dyDescent="0.35">
      <c r="A21" s="30">
        <v>16</v>
      </c>
      <c r="B21" s="1" t="s">
        <v>20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86"/>
      <c r="N21" s="87"/>
      <c r="O21" s="87"/>
    </row>
    <row r="22" spans="1:15" x14ac:dyDescent="0.35">
      <c r="A22" s="30">
        <v>17</v>
      </c>
      <c r="B22" s="1" t="s">
        <v>21</v>
      </c>
      <c r="C22" s="69"/>
      <c r="D22" s="69"/>
      <c r="E22" s="69"/>
      <c r="F22" s="69"/>
      <c r="G22" s="69"/>
      <c r="H22" s="69"/>
      <c r="I22" s="69"/>
      <c r="J22" s="69"/>
      <c r="K22" s="69"/>
      <c r="L22" s="67"/>
    </row>
    <row r="23" spans="1:15" x14ac:dyDescent="0.35">
      <c r="A23" s="30">
        <v>18</v>
      </c>
      <c r="B23" s="3" t="s">
        <v>30</v>
      </c>
      <c r="C23" s="69"/>
      <c r="D23" s="69"/>
      <c r="E23" s="69"/>
      <c r="F23" s="69"/>
      <c r="G23" s="69"/>
      <c r="H23" s="67"/>
      <c r="I23" s="67"/>
      <c r="J23" s="69"/>
      <c r="K23" s="69"/>
      <c r="L23" s="69"/>
    </row>
    <row r="24" spans="1:15" s="32" customFormat="1" x14ac:dyDescent="0.35">
      <c r="A24" s="30">
        <v>19</v>
      </c>
      <c r="B24" s="33" t="s">
        <v>75</v>
      </c>
      <c r="C24" s="69"/>
      <c r="D24" s="69"/>
      <c r="E24" s="69"/>
      <c r="F24" s="69"/>
      <c r="G24" s="69"/>
      <c r="H24" s="67"/>
      <c r="I24" s="69"/>
      <c r="J24" s="69"/>
      <c r="K24" s="69"/>
      <c r="L24" s="69"/>
    </row>
    <row r="25" spans="1:15" x14ac:dyDescent="0.35">
      <c r="A25" s="30">
        <v>20</v>
      </c>
      <c r="B25" s="10" t="s">
        <v>22</v>
      </c>
      <c r="C25" s="69"/>
      <c r="D25" s="69"/>
      <c r="E25" s="69"/>
      <c r="F25" s="69"/>
      <c r="G25" s="69"/>
      <c r="H25" s="67"/>
      <c r="I25" s="69"/>
      <c r="J25" s="69"/>
      <c r="K25" s="69"/>
      <c r="L25" s="69"/>
    </row>
    <row r="26" spans="1:15" x14ac:dyDescent="0.35">
      <c r="A26" s="30">
        <v>21</v>
      </c>
      <c r="B26" s="1" t="s">
        <v>31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</row>
    <row r="27" spans="1:15" x14ac:dyDescent="0.35">
      <c r="A27" s="30">
        <v>22</v>
      </c>
      <c r="B27" s="1" t="s">
        <v>32</v>
      </c>
      <c r="C27" s="69"/>
      <c r="D27" s="62"/>
      <c r="E27" s="62"/>
      <c r="F27" s="62"/>
      <c r="G27" s="62"/>
      <c r="H27" s="62"/>
      <c r="I27" s="62"/>
      <c r="J27" s="62"/>
      <c r="K27" s="62"/>
      <c r="L27" s="60"/>
    </row>
    <row r="28" spans="1:15" x14ac:dyDescent="0.35">
      <c r="A28" s="30">
        <v>23</v>
      </c>
      <c r="B28" s="1" t="s">
        <v>33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</row>
    <row r="29" spans="1:15" x14ac:dyDescent="0.35">
      <c r="A29" s="30">
        <v>24</v>
      </c>
      <c r="B29" s="10" t="s">
        <v>23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</row>
    <row r="30" spans="1:15" x14ac:dyDescent="0.35">
      <c r="A30" s="30">
        <v>25</v>
      </c>
      <c r="B30" s="10" t="s">
        <v>24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</row>
    <row r="31" spans="1:15" x14ac:dyDescent="0.35">
      <c r="A31" s="30">
        <v>26</v>
      </c>
      <c r="B31" s="10" t="s">
        <v>25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</row>
    <row r="32" spans="1:15" x14ac:dyDescent="0.35">
      <c r="A32" s="30">
        <v>27</v>
      </c>
      <c r="B32" s="10" t="s">
        <v>26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</row>
    <row r="33" spans="1:12" x14ac:dyDescent="0.35">
      <c r="A33" s="30">
        <v>28</v>
      </c>
      <c r="B33" s="10" t="s">
        <v>34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</row>
    <row r="34" spans="1:12" ht="21" customHeight="1" x14ac:dyDescent="0.35">
      <c r="A34" s="79" t="s">
        <v>27</v>
      </c>
      <c r="B34" s="79"/>
      <c r="C34" s="27">
        <f t="shared" ref="C34:L34" si="0">SUM(C6:C33)</f>
        <v>0</v>
      </c>
      <c r="D34" s="27">
        <f t="shared" si="0"/>
        <v>0</v>
      </c>
      <c r="E34" s="6">
        <f>SUM(E6:E33)</f>
        <v>0</v>
      </c>
      <c r="F34" s="6">
        <f t="shared" si="0"/>
        <v>0</v>
      </c>
      <c r="G34" s="6">
        <f t="shared" si="0"/>
        <v>0</v>
      </c>
      <c r="H34" s="6">
        <f t="shared" si="0"/>
        <v>0</v>
      </c>
      <c r="I34" s="6">
        <f t="shared" si="0"/>
        <v>0</v>
      </c>
      <c r="J34" s="6">
        <f>SUM(J6:J33)</f>
        <v>0</v>
      </c>
      <c r="K34" s="6">
        <f>SUM(K6:K33)</f>
        <v>0</v>
      </c>
      <c r="L34" s="6">
        <f t="shared" si="0"/>
        <v>0</v>
      </c>
    </row>
  </sheetData>
  <mergeCells count="15">
    <mergeCell ref="M21:O21"/>
    <mergeCell ref="I3:I5"/>
    <mergeCell ref="M16:P16"/>
    <mergeCell ref="A34:B34"/>
    <mergeCell ref="A2:L2"/>
    <mergeCell ref="L4:L5"/>
    <mergeCell ref="J4:J5"/>
    <mergeCell ref="K4:K5"/>
    <mergeCell ref="A3:A5"/>
    <mergeCell ref="J3:L3"/>
    <mergeCell ref="B3:B5"/>
    <mergeCell ref="C3:E4"/>
    <mergeCell ref="F3:F5"/>
    <mergeCell ref="G3:G5"/>
    <mergeCell ref="H3:H5"/>
  </mergeCells>
  <hyperlinks>
    <hyperlink ref="A3" r:id="rId1" display="http://s.no/"/>
  </hyperlink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workbookViewId="0">
      <selection activeCell="N5" sqref="N5"/>
    </sheetView>
  </sheetViews>
  <sheetFormatPr defaultRowHeight="14.5" x14ac:dyDescent="0.35"/>
  <cols>
    <col min="1" max="1" width="2.6328125" customWidth="1"/>
    <col min="2" max="2" width="6.08984375" customWidth="1"/>
    <col min="3" max="3" width="5.54296875" customWidth="1"/>
    <col min="4" max="4" width="13" customWidth="1"/>
    <col min="5" max="5" width="15.1796875" style="16" customWidth="1"/>
    <col min="6" max="6" width="6.26953125" style="16" customWidth="1"/>
    <col min="7" max="7" width="5.7265625" style="16" customWidth="1"/>
    <col min="8" max="8" width="8.7265625" style="16" customWidth="1"/>
    <col min="9" max="9" width="7.26953125" style="16" customWidth="1"/>
    <col min="10" max="10" width="9" style="16" customWidth="1"/>
    <col min="11" max="11" width="9.26953125" customWidth="1"/>
    <col min="12" max="12" width="9.453125" customWidth="1"/>
    <col min="14" max="14" width="6.7265625" bestFit="1" customWidth="1"/>
    <col min="15" max="15" width="9" customWidth="1"/>
    <col min="17" max="17" width="6.7265625" bestFit="1" customWidth="1"/>
    <col min="18" max="18" width="9.26953125" customWidth="1"/>
    <col min="19" max="19" width="6.7265625" bestFit="1" customWidth="1"/>
    <col min="21" max="21" width="6.7265625" bestFit="1" customWidth="1"/>
    <col min="23" max="23" width="6.7265625" bestFit="1" customWidth="1"/>
    <col min="25" max="25" width="6.7265625" bestFit="1" customWidth="1"/>
  </cols>
  <sheetData>
    <row r="1" spans="1:29" ht="22.5" customHeight="1" x14ac:dyDescent="0.35">
      <c r="A1" s="80" t="s">
        <v>47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9" ht="15" customHeight="1" x14ac:dyDescent="0.35">
      <c r="A2" s="79" t="s">
        <v>78</v>
      </c>
      <c r="B2" s="79" t="s">
        <v>38</v>
      </c>
      <c r="C2" s="92" t="s">
        <v>4</v>
      </c>
      <c r="D2" s="79" t="s">
        <v>71</v>
      </c>
      <c r="E2" s="89" t="s">
        <v>73</v>
      </c>
      <c r="F2" s="89" t="s">
        <v>35</v>
      </c>
      <c r="G2" s="89" t="s">
        <v>36</v>
      </c>
      <c r="H2" s="91" t="s">
        <v>55</v>
      </c>
      <c r="I2" s="91" t="s">
        <v>56</v>
      </c>
      <c r="J2" s="91" t="s">
        <v>72</v>
      </c>
      <c r="K2" s="79" t="s">
        <v>46</v>
      </c>
      <c r="L2" s="79" t="s">
        <v>28</v>
      </c>
      <c r="M2" s="93" t="s">
        <v>41</v>
      </c>
      <c r="N2" s="94"/>
      <c r="O2" s="95"/>
      <c r="P2" s="92" t="s">
        <v>44</v>
      </c>
      <c r="Q2" s="92"/>
      <c r="R2" s="92" t="s">
        <v>48</v>
      </c>
      <c r="S2" s="92"/>
      <c r="T2" s="92" t="s">
        <v>49</v>
      </c>
      <c r="U2" s="92"/>
      <c r="V2" s="92" t="s">
        <v>50</v>
      </c>
      <c r="W2" s="92"/>
      <c r="X2" s="92" t="s">
        <v>45</v>
      </c>
      <c r="Y2" s="92"/>
    </row>
    <row r="3" spans="1:29" ht="44.25" customHeight="1" x14ac:dyDescent="0.35">
      <c r="A3" s="79"/>
      <c r="B3" s="79"/>
      <c r="C3" s="92"/>
      <c r="D3" s="79"/>
      <c r="E3" s="90"/>
      <c r="F3" s="90"/>
      <c r="G3" s="90"/>
      <c r="H3" s="91"/>
      <c r="I3" s="91"/>
      <c r="J3" s="91"/>
      <c r="K3" s="79"/>
      <c r="L3" s="79"/>
      <c r="M3" s="4" t="s">
        <v>42</v>
      </c>
      <c r="N3" s="4" t="s">
        <v>43</v>
      </c>
      <c r="O3" s="10" t="s">
        <v>54</v>
      </c>
      <c r="P3" s="4" t="s">
        <v>42</v>
      </c>
      <c r="Q3" s="4" t="s">
        <v>43</v>
      </c>
      <c r="R3" s="4" t="s">
        <v>42</v>
      </c>
      <c r="S3" s="4" t="s">
        <v>43</v>
      </c>
      <c r="T3" s="4" t="s">
        <v>42</v>
      </c>
      <c r="U3" s="4" t="s">
        <v>43</v>
      </c>
      <c r="V3" s="4" t="s">
        <v>42</v>
      </c>
      <c r="W3" s="4" t="s">
        <v>43</v>
      </c>
      <c r="X3" s="4" t="s">
        <v>42</v>
      </c>
      <c r="Y3" s="4" t="s">
        <v>43</v>
      </c>
    </row>
    <row r="4" spans="1:29" ht="31.5" x14ac:dyDescent="0.35">
      <c r="A4" s="1">
        <v>1</v>
      </c>
      <c r="B4" s="1" t="s">
        <v>7</v>
      </c>
      <c r="C4" s="66">
        <v>1</v>
      </c>
      <c r="D4" s="68" t="s">
        <v>87</v>
      </c>
      <c r="E4" s="68" t="s">
        <v>165</v>
      </c>
      <c r="F4" s="66">
        <v>0</v>
      </c>
      <c r="G4" s="66">
        <v>0</v>
      </c>
      <c r="H4" s="66">
        <v>0</v>
      </c>
      <c r="I4" s="66">
        <v>0</v>
      </c>
      <c r="J4" s="68" t="s">
        <v>164</v>
      </c>
      <c r="K4" s="68" t="s">
        <v>166</v>
      </c>
      <c r="L4" s="68" t="s">
        <v>167</v>
      </c>
      <c r="M4" s="68">
        <v>1</v>
      </c>
      <c r="N4" s="66">
        <v>1</v>
      </c>
      <c r="O4" s="68" t="s">
        <v>166</v>
      </c>
      <c r="P4" s="66">
        <v>0</v>
      </c>
      <c r="Q4" s="66">
        <v>0</v>
      </c>
      <c r="R4" s="66">
        <v>0</v>
      </c>
      <c r="S4" s="66">
        <v>0</v>
      </c>
      <c r="T4" s="66">
        <v>0</v>
      </c>
      <c r="U4" s="66">
        <v>0</v>
      </c>
      <c r="V4" s="66">
        <v>0</v>
      </c>
      <c r="W4" s="66">
        <v>0</v>
      </c>
      <c r="X4" s="68">
        <v>0</v>
      </c>
      <c r="Y4" s="68">
        <v>0</v>
      </c>
      <c r="Z4" s="21"/>
    </row>
    <row r="5" spans="1:29" x14ac:dyDescent="0.35">
      <c r="A5" s="1">
        <v>2</v>
      </c>
      <c r="B5" s="1" t="s">
        <v>8</v>
      </c>
      <c r="C5" s="66">
        <v>0</v>
      </c>
      <c r="D5" s="68">
        <v>0</v>
      </c>
      <c r="E5" s="68">
        <v>0</v>
      </c>
      <c r="F5" s="66">
        <v>0</v>
      </c>
      <c r="G5" s="66">
        <v>0</v>
      </c>
      <c r="H5" s="66">
        <v>0</v>
      </c>
      <c r="I5" s="66">
        <v>0</v>
      </c>
      <c r="J5" s="68">
        <v>0</v>
      </c>
      <c r="K5" s="68">
        <v>0</v>
      </c>
      <c r="L5" s="68">
        <v>0</v>
      </c>
      <c r="M5" s="68">
        <v>0</v>
      </c>
      <c r="N5" s="66">
        <v>0</v>
      </c>
      <c r="O5" s="68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8">
        <v>0</v>
      </c>
      <c r="Y5" s="68">
        <v>0</v>
      </c>
      <c r="Z5" s="34"/>
    </row>
    <row r="6" spans="1:29" ht="46.5" customHeight="1" x14ac:dyDescent="0.35">
      <c r="A6" s="30">
        <v>3</v>
      </c>
      <c r="B6" s="1" t="s">
        <v>9</v>
      </c>
      <c r="C6" s="66">
        <v>1</v>
      </c>
      <c r="D6" s="68" t="s">
        <v>161</v>
      </c>
      <c r="E6" s="68" t="s">
        <v>159</v>
      </c>
      <c r="F6" s="66">
        <v>0</v>
      </c>
      <c r="G6" s="66">
        <v>0</v>
      </c>
      <c r="H6" s="66">
        <v>0</v>
      </c>
      <c r="I6" s="66">
        <v>0</v>
      </c>
      <c r="J6" s="68" t="s">
        <v>160</v>
      </c>
      <c r="K6" s="68" t="s">
        <v>129</v>
      </c>
      <c r="L6" s="65">
        <v>0.39583333333333331</v>
      </c>
      <c r="M6" s="68">
        <v>1</v>
      </c>
      <c r="N6" s="66">
        <v>1</v>
      </c>
      <c r="O6" s="68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8">
        <v>0</v>
      </c>
      <c r="Y6" s="68">
        <v>0</v>
      </c>
    </row>
    <row r="7" spans="1:29" ht="21" x14ac:dyDescent="0.35">
      <c r="A7" s="30">
        <v>4</v>
      </c>
      <c r="B7" s="1" t="s">
        <v>10</v>
      </c>
      <c r="C7" s="66">
        <v>1</v>
      </c>
      <c r="D7" s="68" t="s">
        <v>81</v>
      </c>
      <c r="E7" s="68" t="s">
        <v>90</v>
      </c>
      <c r="F7" s="66">
        <v>1</v>
      </c>
      <c r="G7" s="66">
        <v>0</v>
      </c>
      <c r="H7" s="66">
        <v>0</v>
      </c>
      <c r="I7" s="66">
        <v>0</v>
      </c>
      <c r="J7" s="68">
        <v>0</v>
      </c>
      <c r="K7" s="68" t="s">
        <v>83</v>
      </c>
      <c r="L7" s="68" t="s">
        <v>91</v>
      </c>
      <c r="M7" s="68">
        <v>1</v>
      </c>
      <c r="N7" s="66">
        <v>2</v>
      </c>
      <c r="O7" s="68" t="s">
        <v>92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8">
        <v>0</v>
      </c>
      <c r="Y7" s="68">
        <v>0</v>
      </c>
    </row>
    <row r="8" spans="1:29" x14ac:dyDescent="0.35">
      <c r="A8" s="30">
        <v>5</v>
      </c>
      <c r="B8" s="1" t="s">
        <v>29</v>
      </c>
      <c r="C8" s="66">
        <v>0</v>
      </c>
      <c r="D8" s="68">
        <v>0</v>
      </c>
      <c r="E8" s="68">
        <v>0</v>
      </c>
      <c r="F8" s="66">
        <v>0</v>
      </c>
      <c r="G8" s="66">
        <v>0</v>
      </c>
      <c r="H8" s="66">
        <v>0</v>
      </c>
      <c r="I8" s="66">
        <v>0</v>
      </c>
      <c r="J8" s="68">
        <v>0</v>
      </c>
      <c r="K8" s="68">
        <v>0</v>
      </c>
      <c r="L8" s="68">
        <v>0</v>
      </c>
      <c r="M8" s="68">
        <v>0</v>
      </c>
      <c r="N8" s="66">
        <v>0</v>
      </c>
      <c r="O8" s="68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8">
        <v>0</v>
      </c>
      <c r="Y8" s="68">
        <v>0</v>
      </c>
      <c r="Z8" s="50"/>
    </row>
    <row r="9" spans="1:29" ht="21" x14ac:dyDescent="0.35">
      <c r="A9" s="30">
        <v>6</v>
      </c>
      <c r="B9" s="1" t="s">
        <v>11</v>
      </c>
      <c r="C9" s="66">
        <v>1</v>
      </c>
      <c r="D9" s="68" t="s">
        <v>81</v>
      </c>
      <c r="E9" s="68" t="s">
        <v>82</v>
      </c>
      <c r="F9" s="66">
        <v>0</v>
      </c>
      <c r="G9" s="66">
        <v>0</v>
      </c>
      <c r="H9" s="66">
        <v>0</v>
      </c>
      <c r="I9" s="66">
        <v>0</v>
      </c>
      <c r="J9" s="68">
        <v>1</v>
      </c>
      <c r="K9" s="68" t="s">
        <v>83</v>
      </c>
      <c r="L9" s="68" t="s">
        <v>84</v>
      </c>
      <c r="M9" s="68">
        <v>0</v>
      </c>
      <c r="N9" s="66">
        <v>0</v>
      </c>
      <c r="O9" s="68">
        <v>0</v>
      </c>
      <c r="P9" s="66">
        <v>0</v>
      </c>
      <c r="Q9" s="66">
        <v>0</v>
      </c>
      <c r="R9" s="66">
        <v>1</v>
      </c>
      <c r="S9" s="66">
        <v>1</v>
      </c>
      <c r="T9" s="66">
        <v>0</v>
      </c>
      <c r="U9" s="66">
        <v>0</v>
      </c>
      <c r="V9" s="66">
        <v>0</v>
      </c>
      <c r="W9" s="66">
        <v>0</v>
      </c>
      <c r="X9" s="68">
        <v>0</v>
      </c>
      <c r="Y9" s="68">
        <v>0</v>
      </c>
      <c r="Z9" s="46"/>
    </row>
    <row r="10" spans="1:29" ht="21" x14ac:dyDescent="0.35">
      <c r="A10" s="30">
        <v>7</v>
      </c>
      <c r="B10" s="1" t="s">
        <v>12</v>
      </c>
      <c r="C10" s="66">
        <v>1</v>
      </c>
      <c r="D10" s="68" t="s">
        <v>113</v>
      </c>
      <c r="E10" s="71" t="s">
        <v>114</v>
      </c>
      <c r="F10" s="66">
        <v>1</v>
      </c>
      <c r="G10" s="66">
        <v>0</v>
      </c>
      <c r="H10" s="66">
        <v>0</v>
      </c>
      <c r="I10" s="66">
        <v>0</v>
      </c>
      <c r="J10" s="68">
        <v>0</v>
      </c>
      <c r="K10" s="68" t="s">
        <v>92</v>
      </c>
      <c r="L10" s="68" t="s">
        <v>115</v>
      </c>
      <c r="M10" s="68">
        <v>0</v>
      </c>
      <c r="N10" s="66">
        <v>0</v>
      </c>
      <c r="O10" s="68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8" t="s">
        <v>101</v>
      </c>
      <c r="Y10" s="68">
        <v>1</v>
      </c>
    </row>
    <row r="11" spans="1:29" x14ac:dyDescent="0.35">
      <c r="A11" s="30">
        <v>8</v>
      </c>
      <c r="B11" s="1" t="s">
        <v>13</v>
      </c>
      <c r="C11" s="66">
        <v>0</v>
      </c>
      <c r="D11" s="68">
        <v>0</v>
      </c>
      <c r="E11" s="68">
        <v>0</v>
      </c>
      <c r="F11" s="66">
        <v>0</v>
      </c>
      <c r="G11" s="66">
        <v>0</v>
      </c>
      <c r="H11" s="66">
        <v>0</v>
      </c>
      <c r="I11" s="66">
        <v>0</v>
      </c>
      <c r="J11" s="68">
        <v>0</v>
      </c>
      <c r="K11" s="68">
        <v>0</v>
      </c>
      <c r="L11" s="68">
        <v>0</v>
      </c>
      <c r="M11" s="68">
        <v>0</v>
      </c>
      <c r="N11" s="66">
        <v>0</v>
      </c>
      <c r="O11" s="68">
        <v>0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8">
        <v>0</v>
      </c>
      <c r="Y11" s="68">
        <v>0</v>
      </c>
      <c r="Z11" s="49"/>
    </row>
    <row r="12" spans="1:29" ht="42" x14ac:dyDescent="0.35">
      <c r="A12" s="30">
        <v>9</v>
      </c>
      <c r="B12" s="1" t="s">
        <v>14</v>
      </c>
      <c r="C12" s="66">
        <v>2</v>
      </c>
      <c r="D12" s="68" t="s">
        <v>100</v>
      </c>
      <c r="E12" s="68" t="s">
        <v>103</v>
      </c>
      <c r="F12" s="66">
        <v>2</v>
      </c>
      <c r="G12" s="66">
        <v>0</v>
      </c>
      <c r="H12" s="66">
        <v>0</v>
      </c>
      <c r="I12" s="66">
        <v>0</v>
      </c>
      <c r="J12" s="68">
        <v>0</v>
      </c>
      <c r="K12" s="68" t="s">
        <v>104</v>
      </c>
      <c r="L12" s="68" t="s">
        <v>102</v>
      </c>
      <c r="M12" s="68">
        <v>0</v>
      </c>
      <c r="N12" s="66">
        <v>0</v>
      </c>
      <c r="O12" s="68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1</v>
      </c>
      <c r="W12" s="66">
        <v>1</v>
      </c>
      <c r="X12" s="68" t="s">
        <v>101</v>
      </c>
      <c r="Y12" s="68">
        <v>1</v>
      </c>
      <c r="Z12" s="56"/>
      <c r="AA12" s="59"/>
      <c r="AB12" s="59"/>
      <c r="AC12" s="59"/>
    </row>
    <row r="13" spans="1:29" s="32" customFormat="1" x14ac:dyDescent="0.35">
      <c r="A13" s="30">
        <v>10</v>
      </c>
      <c r="B13" s="30" t="s">
        <v>76</v>
      </c>
      <c r="C13" s="66">
        <v>0</v>
      </c>
      <c r="D13" s="68">
        <v>0</v>
      </c>
      <c r="E13" s="68">
        <v>0</v>
      </c>
      <c r="F13" s="66">
        <v>0</v>
      </c>
      <c r="G13" s="66">
        <v>0</v>
      </c>
      <c r="H13" s="66">
        <v>0</v>
      </c>
      <c r="I13" s="66">
        <v>0</v>
      </c>
      <c r="J13" s="68">
        <v>0</v>
      </c>
      <c r="K13" s="68">
        <v>0</v>
      </c>
      <c r="L13" s="68">
        <v>0</v>
      </c>
      <c r="M13" s="68">
        <v>0</v>
      </c>
      <c r="N13" s="66">
        <v>0</v>
      </c>
      <c r="O13" s="68">
        <v>0</v>
      </c>
      <c r="P13" s="66">
        <v>0</v>
      </c>
      <c r="Q13" s="66">
        <v>0</v>
      </c>
      <c r="R13" s="66">
        <v>0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8">
        <v>0</v>
      </c>
      <c r="Y13" s="68">
        <v>0</v>
      </c>
    </row>
    <row r="14" spans="1:29" x14ac:dyDescent="0.35">
      <c r="A14" s="30">
        <v>11</v>
      </c>
      <c r="B14" s="1" t="s">
        <v>15</v>
      </c>
      <c r="C14" s="66">
        <v>0</v>
      </c>
      <c r="D14" s="68">
        <v>0</v>
      </c>
      <c r="E14" s="68">
        <v>0</v>
      </c>
      <c r="F14" s="66">
        <v>0</v>
      </c>
      <c r="G14" s="66">
        <v>0</v>
      </c>
      <c r="H14" s="66">
        <v>0</v>
      </c>
      <c r="I14" s="66">
        <v>0</v>
      </c>
      <c r="J14" s="68">
        <v>0</v>
      </c>
      <c r="K14" s="68">
        <v>0</v>
      </c>
      <c r="L14" s="68">
        <v>0</v>
      </c>
      <c r="M14" s="68">
        <v>0</v>
      </c>
      <c r="N14" s="66">
        <v>0</v>
      </c>
      <c r="O14" s="68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8">
        <v>0</v>
      </c>
      <c r="Y14" s="68">
        <v>0</v>
      </c>
    </row>
    <row r="15" spans="1:29" x14ac:dyDescent="0.35">
      <c r="A15" s="30">
        <v>12</v>
      </c>
      <c r="B15" s="2" t="s">
        <v>16</v>
      </c>
      <c r="C15" s="66">
        <v>0</v>
      </c>
      <c r="D15" s="68">
        <v>0</v>
      </c>
      <c r="E15" s="68">
        <v>0</v>
      </c>
      <c r="F15" s="66">
        <v>0</v>
      </c>
      <c r="G15" s="66">
        <v>0</v>
      </c>
      <c r="H15" s="66">
        <v>0</v>
      </c>
      <c r="I15" s="66">
        <v>0</v>
      </c>
      <c r="J15" s="68">
        <v>0</v>
      </c>
      <c r="K15" s="68">
        <v>0</v>
      </c>
      <c r="L15" s="68">
        <v>0</v>
      </c>
      <c r="M15" s="68">
        <v>0</v>
      </c>
      <c r="N15" s="66">
        <v>0</v>
      </c>
      <c r="O15" s="68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8">
        <v>0</v>
      </c>
      <c r="Y15" s="68">
        <v>0</v>
      </c>
      <c r="Z15" s="55"/>
    </row>
    <row r="16" spans="1:29" x14ac:dyDescent="0.35">
      <c r="A16" s="30">
        <v>13</v>
      </c>
      <c r="B16" s="1" t="s">
        <v>17</v>
      </c>
      <c r="C16" s="66">
        <v>0</v>
      </c>
      <c r="D16" s="68">
        <v>0</v>
      </c>
      <c r="E16" s="68">
        <v>0</v>
      </c>
      <c r="F16" s="66">
        <v>0</v>
      </c>
      <c r="G16" s="66">
        <v>0</v>
      </c>
      <c r="H16" s="66">
        <v>0</v>
      </c>
      <c r="I16" s="66">
        <v>0</v>
      </c>
      <c r="J16" s="68">
        <v>0</v>
      </c>
      <c r="K16" s="68">
        <v>0</v>
      </c>
      <c r="L16" s="68">
        <v>0</v>
      </c>
      <c r="M16" s="68">
        <v>0</v>
      </c>
      <c r="N16" s="66">
        <v>0</v>
      </c>
      <c r="O16" s="68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8">
        <v>0</v>
      </c>
      <c r="Y16" s="68">
        <v>0</v>
      </c>
      <c r="Z16" s="52"/>
    </row>
    <row r="17" spans="1:26" x14ac:dyDescent="0.35">
      <c r="A17" s="30">
        <v>14</v>
      </c>
      <c r="B17" s="1" t="s">
        <v>18</v>
      </c>
      <c r="C17" s="66">
        <v>0</v>
      </c>
      <c r="D17" s="68">
        <v>0</v>
      </c>
      <c r="E17" s="68">
        <v>0</v>
      </c>
      <c r="F17" s="66">
        <v>0</v>
      </c>
      <c r="G17" s="66">
        <v>0</v>
      </c>
      <c r="H17" s="66">
        <v>0</v>
      </c>
      <c r="I17" s="66">
        <v>0</v>
      </c>
      <c r="J17" s="68">
        <v>0</v>
      </c>
      <c r="K17" s="68">
        <v>0</v>
      </c>
      <c r="L17" s="68">
        <v>0</v>
      </c>
      <c r="M17" s="68">
        <v>0</v>
      </c>
      <c r="N17" s="66">
        <v>0</v>
      </c>
      <c r="O17" s="68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8">
        <v>0</v>
      </c>
      <c r="Y17" s="68">
        <v>0</v>
      </c>
      <c r="Z17" s="28"/>
    </row>
    <row r="18" spans="1:26" x14ac:dyDescent="0.35">
      <c r="A18" s="30">
        <v>15</v>
      </c>
      <c r="B18" s="2" t="s">
        <v>19</v>
      </c>
      <c r="C18" s="66">
        <v>0</v>
      </c>
      <c r="D18" s="68">
        <v>0</v>
      </c>
      <c r="E18" s="68">
        <v>0</v>
      </c>
      <c r="F18" s="66">
        <v>0</v>
      </c>
      <c r="G18" s="66">
        <v>0</v>
      </c>
      <c r="H18" s="66">
        <v>0</v>
      </c>
      <c r="I18" s="66">
        <v>0</v>
      </c>
      <c r="J18" s="68">
        <v>0</v>
      </c>
      <c r="K18" s="68">
        <v>0</v>
      </c>
      <c r="L18" s="68">
        <v>0</v>
      </c>
      <c r="M18" s="68">
        <v>0</v>
      </c>
      <c r="N18" s="66">
        <v>0</v>
      </c>
      <c r="O18" s="68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8">
        <v>0</v>
      </c>
      <c r="Y18" s="68">
        <v>0</v>
      </c>
      <c r="Z18" s="59"/>
    </row>
    <row r="19" spans="1:26" x14ac:dyDescent="0.35">
      <c r="A19" s="30">
        <v>16</v>
      </c>
      <c r="B19" s="1" t="s">
        <v>20</v>
      </c>
      <c r="C19" s="66">
        <v>0</v>
      </c>
      <c r="D19" s="68">
        <v>0</v>
      </c>
      <c r="E19" s="68">
        <v>0</v>
      </c>
      <c r="F19" s="66">
        <v>0</v>
      </c>
      <c r="G19" s="66">
        <v>0</v>
      </c>
      <c r="H19" s="66">
        <v>0</v>
      </c>
      <c r="I19" s="66">
        <v>0</v>
      </c>
      <c r="J19" s="68">
        <v>0</v>
      </c>
      <c r="K19" s="68">
        <v>0</v>
      </c>
      <c r="L19" s="68">
        <v>0</v>
      </c>
      <c r="M19" s="68">
        <v>0</v>
      </c>
      <c r="N19" s="66">
        <v>0</v>
      </c>
      <c r="O19" s="68">
        <v>0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8">
        <v>0</v>
      </c>
      <c r="Y19" s="68">
        <v>0</v>
      </c>
      <c r="Z19" s="40"/>
    </row>
    <row r="20" spans="1:26" ht="52.5" x14ac:dyDescent="0.35">
      <c r="A20" s="30">
        <v>17</v>
      </c>
      <c r="B20" s="1" t="s">
        <v>21</v>
      </c>
      <c r="C20" s="66">
        <v>3</v>
      </c>
      <c r="D20" s="68" t="s">
        <v>81</v>
      </c>
      <c r="E20" s="68" t="s">
        <v>154</v>
      </c>
      <c r="F20" s="66">
        <v>2</v>
      </c>
      <c r="G20" s="66">
        <v>1</v>
      </c>
      <c r="H20" s="66">
        <v>0</v>
      </c>
      <c r="I20" s="66">
        <v>0</v>
      </c>
      <c r="J20" s="68">
        <v>0</v>
      </c>
      <c r="K20" s="68" t="s">
        <v>156</v>
      </c>
      <c r="L20" s="68" t="s">
        <v>155</v>
      </c>
      <c r="M20" s="68">
        <v>0</v>
      </c>
      <c r="N20" s="66">
        <v>0</v>
      </c>
      <c r="O20" s="68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2</v>
      </c>
      <c r="W20" s="66">
        <v>3</v>
      </c>
      <c r="X20" s="68" t="s">
        <v>101</v>
      </c>
      <c r="Y20" s="68">
        <v>1</v>
      </c>
      <c r="Z20" s="54"/>
    </row>
    <row r="21" spans="1:26" ht="42" x14ac:dyDescent="0.35">
      <c r="A21" s="30">
        <v>18</v>
      </c>
      <c r="B21" s="3" t="s">
        <v>30</v>
      </c>
      <c r="C21" s="66">
        <v>1</v>
      </c>
      <c r="D21" s="68" t="s">
        <v>100</v>
      </c>
      <c r="E21" s="68" t="s">
        <v>151</v>
      </c>
      <c r="F21" s="66">
        <v>0</v>
      </c>
      <c r="G21" s="66">
        <v>0</v>
      </c>
      <c r="H21" s="66">
        <v>0</v>
      </c>
      <c r="I21" s="66">
        <v>0</v>
      </c>
      <c r="J21" s="68" t="s">
        <v>153</v>
      </c>
      <c r="K21" s="68" t="s">
        <v>129</v>
      </c>
      <c r="L21" s="68" t="s">
        <v>152</v>
      </c>
      <c r="M21" s="68">
        <v>0</v>
      </c>
      <c r="N21" s="66">
        <v>0</v>
      </c>
      <c r="O21" s="68">
        <v>0</v>
      </c>
      <c r="P21" s="66">
        <v>0</v>
      </c>
      <c r="Q21" s="66">
        <v>0</v>
      </c>
      <c r="R21" s="66">
        <v>0</v>
      </c>
      <c r="S21" s="66">
        <v>0</v>
      </c>
      <c r="T21" s="66">
        <v>0</v>
      </c>
      <c r="U21" s="66">
        <v>0</v>
      </c>
      <c r="V21" s="66">
        <v>1</v>
      </c>
      <c r="W21" s="66">
        <v>1</v>
      </c>
      <c r="X21" s="68">
        <v>0</v>
      </c>
      <c r="Y21" s="68">
        <v>0</v>
      </c>
    </row>
    <row r="22" spans="1:26" s="32" customFormat="1" ht="28" customHeight="1" x14ac:dyDescent="0.35">
      <c r="A22" s="30">
        <v>19</v>
      </c>
      <c r="B22" s="33" t="s">
        <v>75</v>
      </c>
      <c r="C22" s="66">
        <v>1</v>
      </c>
      <c r="D22" s="68" t="s">
        <v>134</v>
      </c>
      <c r="E22" s="68" t="s">
        <v>131</v>
      </c>
      <c r="F22" s="66">
        <v>1</v>
      </c>
      <c r="G22" s="66">
        <v>0</v>
      </c>
      <c r="H22" s="66">
        <v>0</v>
      </c>
      <c r="I22" s="66">
        <v>0</v>
      </c>
      <c r="J22" s="68">
        <v>0</v>
      </c>
      <c r="K22" s="68" t="s">
        <v>129</v>
      </c>
      <c r="L22" s="65" t="s">
        <v>132</v>
      </c>
      <c r="M22" s="68">
        <v>0</v>
      </c>
      <c r="N22" s="66">
        <v>0</v>
      </c>
      <c r="O22" s="68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8" t="s">
        <v>133</v>
      </c>
      <c r="Y22" s="68">
        <v>1</v>
      </c>
      <c r="Z22" s="53"/>
    </row>
    <row r="23" spans="1:26" ht="21" x14ac:dyDescent="0.35">
      <c r="A23" s="30">
        <v>20</v>
      </c>
      <c r="B23" s="2" t="s">
        <v>22</v>
      </c>
      <c r="C23" s="66">
        <v>1</v>
      </c>
      <c r="D23" s="68" t="s">
        <v>81</v>
      </c>
      <c r="E23" s="68" t="s">
        <v>138</v>
      </c>
      <c r="F23" s="66">
        <v>0</v>
      </c>
      <c r="G23" s="66">
        <v>0</v>
      </c>
      <c r="H23" s="66">
        <v>0</v>
      </c>
      <c r="I23" s="66">
        <v>0</v>
      </c>
      <c r="J23" s="68" t="s">
        <v>139</v>
      </c>
      <c r="K23" s="68" t="s">
        <v>83</v>
      </c>
      <c r="L23" s="77" t="s">
        <v>140</v>
      </c>
      <c r="M23" s="68">
        <v>1</v>
      </c>
      <c r="N23" s="66">
        <v>1</v>
      </c>
      <c r="O23" s="68" t="s">
        <v>83</v>
      </c>
      <c r="P23" s="66">
        <v>0</v>
      </c>
      <c r="Q23" s="66">
        <v>0</v>
      </c>
      <c r="R23" s="66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8">
        <v>0</v>
      </c>
      <c r="Y23" s="68">
        <v>0</v>
      </c>
    </row>
    <row r="24" spans="1:26" ht="36" customHeight="1" x14ac:dyDescent="0.35">
      <c r="A24" s="30">
        <v>21</v>
      </c>
      <c r="B24" s="30" t="s">
        <v>31</v>
      </c>
      <c r="C24" s="66">
        <v>1</v>
      </c>
      <c r="D24" s="68" t="s">
        <v>127</v>
      </c>
      <c r="E24" s="68" t="s">
        <v>128</v>
      </c>
      <c r="F24" s="66">
        <v>0</v>
      </c>
      <c r="G24" s="66">
        <v>1</v>
      </c>
      <c r="H24" s="66">
        <v>0</v>
      </c>
      <c r="I24" s="66">
        <v>0</v>
      </c>
      <c r="J24" s="68">
        <v>0</v>
      </c>
      <c r="K24" s="68" t="s">
        <v>129</v>
      </c>
      <c r="L24" s="68" t="s">
        <v>130</v>
      </c>
      <c r="M24" s="68">
        <v>0</v>
      </c>
      <c r="N24" s="66">
        <v>0</v>
      </c>
      <c r="O24" s="68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8" t="s">
        <v>101</v>
      </c>
      <c r="Y24" s="68">
        <v>1</v>
      </c>
      <c r="Z24" s="39"/>
    </row>
    <row r="25" spans="1:26" x14ac:dyDescent="0.35">
      <c r="A25" s="30">
        <v>22</v>
      </c>
      <c r="B25" s="1" t="s">
        <v>32</v>
      </c>
      <c r="C25" s="66">
        <v>0</v>
      </c>
      <c r="D25" s="68">
        <v>0</v>
      </c>
      <c r="E25" s="68">
        <v>0</v>
      </c>
      <c r="F25" s="66">
        <v>0</v>
      </c>
      <c r="G25" s="66">
        <v>0</v>
      </c>
      <c r="H25" s="66">
        <v>0</v>
      </c>
      <c r="I25" s="66">
        <v>0</v>
      </c>
      <c r="J25" s="68">
        <v>0</v>
      </c>
      <c r="K25" s="68">
        <v>0</v>
      </c>
      <c r="L25" s="68">
        <v>0</v>
      </c>
      <c r="M25" s="68">
        <v>0</v>
      </c>
      <c r="N25" s="66">
        <v>0</v>
      </c>
      <c r="O25" s="68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8">
        <v>0</v>
      </c>
      <c r="Y25" s="68">
        <v>0</v>
      </c>
    </row>
    <row r="26" spans="1:26" x14ac:dyDescent="0.35">
      <c r="A26" s="30">
        <v>23</v>
      </c>
      <c r="B26" s="1" t="s">
        <v>33</v>
      </c>
      <c r="C26" s="66">
        <v>1</v>
      </c>
      <c r="D26" s="68" t="s">
        <v>87</v>
      </c>
      <c r="E26" s="68" t="s">
        <v>88</v>
      </c>
      <c r="F26" s="66">
        <v>1</v>
      </c>
      <c r="G26" s="66">
        <v>0</v>
      </c>
      <c r="H26" s="66">
        <v>0</v>
      </c>
      <c r="I26" s="66">
        <v>0</v>
      </c>
      <c r="J26" s="68">
        <v>0</v>
      </c>
      <c r="K26" s="68" t="s">
        <v>83</v>
      </c>
      <c r="L26" s="68" t="s">
        <v>89</v>
      </c>
      <c r="M26" s="68">
        <v>0</v>
      </c>
      <c r="N26" s="66">
        <v>0</v>
      </c>
      <c r="O26" s="68">
        <v>0</v>
      </c>
      <c r="P26" s="66">
        <v>1</v>
      </c>
      <c r="Q26" s="66">
        <v>1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8">
        <v>0</v>
      </c>
      <c r="Y26" s="68">
        <v>0</v>
      </c>
    </row>
    <row r="27" spans="1:26" x14ac:dyDescent="0.35">
      <c r="A27" s="30">
        <v>24</v>
      </c>
      <c r="B27" s="2" t="s">
        <v>23</v>
      </c>
      <c r="C27" s="66">
        <v>0</v>
      </c>
      <c r="D27" s="68">
        <v>0</v>
      </c>
      <c r="E27" s="68">
        <v>0</v>
      </c>
      <c r="F27" s="66">
        <v>0</v>
      </c>
      <c r="G27" s="66">
        <v>0</v>
      </c>
      <c r="H27" s="66">
        <v>0</v>
      </c>
      <c r="I27" s="66">
        <v>0</v>
      </c>
      <c r="J27" s="68">
        <v>0</v>
      </c>
      <c r="K27" s="68">
        <v>0</v>
      </c>
      <c r="L27" s="68">
        <v>0</v>
      </c>
      <c r="M27" s="68">
        <v>0</v>
      </c>
      <c r="N27" s="66">
        <v>0</v>
      </c>
      <c r="O27" s="68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8">
        <v>0</v>
      </c>
      <c r="Y27" s="68">
        <v>0</v>
      </c>
    </row>
    <row r="28" spans="1:26" x14ac:dyDescent="0.35">
      <c r="A28" s="30">
        <v>25</v>
      </c>
      <c r="B28" s="2" t="s">
        <v>24</v>
      </c>
      <c r="C28" s="66">
        <v>1</v>
      </c>
      <c r="D28" s="68" t="s">
        <v>87</v>
      </c>
      <c r="E28" s="68" t="s">
        <v>110</v>
      </c>
      <c r="F28" s="66">
        <v>0</v>
      </c>
      <c r="G28" s="66">
        <v>1</v>
      </c>
      <c r="H28" s="66">
        <v>0</v>
      </c>
      <c r="I28" s="66">
        <v>0</v>
      </c>
      <c r="J28" s="68">
        <v>0</v>
      </c>
      <c r="K28" s="68" t="s">
        <v>83</v>
      </c>
      <c r="L28" s="68" t="s">
        <v>111</v>
      </c>
      <c r="M28" s="68">
        <v>0</v>
      </c>
      <c r="N28" s="66">
        <v>0</v>
      </c>
      <c r="O28" s="68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8" t="s">
        <v>112</v>
      </c>
      <c r="Y28" s="68">
        <v>1</v>
      </c>
    </row>
    <row r="29" spans="1:26" x14ac:dyDescent="0.35">
      <c r="A29" s="30">
        <v>26</v>
      </c>
      <c r="B29" s="2" t="s">
        <v>25</v>
      </c>
      <c r="C29" s="66">
        <v>0</v>
      </c>
      <c r="D29" s="68">
        <v>0</v>
      </c>
      <c r="E29" s="68">
        <v>0</v>
      </c>
      <c r="F29" s="66">
        <v>0</v>
      </c>
      <c r="G29" s="66">
        <v>0</v>
      </c>
      <c r="H29" s="66">
        <v>0</v>
      </c>
      <c r="I29" s="66">
        <v>0</v>
      </c>
      <c r="J29" s="68">
        <v>0</v>
      </c>
      <c r="K29" s="68">
        <v>0</v>
      </c>
      <c r="L29" s="68">
        <v>0</v>
      </c>
      <c r="M29" s="68">
        <v>0</v>
      </c>
      <c r="N29" s="66">
        <v>0</v>
      </c>
      <c r="O29" s="68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8">
        <v>0</v>
      </c>
      <c r="Y29" s="68">
        <v>0</v>
      </c>
      <c r="Z29" s="51"/>
    </row>
    <row r="30" spans="1:26" x14ac:dyDescent="0.35">
      <c r="A30" s="30">
        <v>27</v>
      </c>
      <c r="B30" s="2" t="s">
        <v>26</v>
      </c>
      <c r="C30" s="66">
        <v>1</v>
      </c>
      <c r="D30" s="68" t="s">
        <v>97</v>
      </c>
      <c r="E30" s="68" t="s">
        <v>98</v>
      </c>
      <c r="F30" s="66">
        <v>1</v>
      </c>
      <c r="G30" s="66">
        <v>0</v>
      </c>
      <c r="H30" s="66">
        <v>0</v>
      </c>
      <c r="I30" s="66">
        <v>0</v>
      </c>
      <c r="J30" s="68">
        <v>0</v>
      </c>
      <c r="K30" s="68" t="s">
        <v>83</v>
      </c>
      <c r="L30" s="68" t="s">
        <v>99</v>
      </c>
      <c r="M30" s="68">
        <v>0</v>
      </c>
      <c r="N30" s="66">
        <v>0</v>
      </c>
      <c r="O30" s="68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1</v>
      </c>
      <c r="W30" s="66">
        <v>1</v>
      </c>
      <c r="X30" s="68">
        <v>0</v>
      </c>
      <c r="Y30" s="68">
        <v>0</v>
      </c>
      <c r="Z30" s="41"/>
    </row>
    <row r="31" spans="1:26" ht="31.5" x14ac:dyDescent="0.35">
      <c r="A31" s="30">
        <v>28</v>
      </c>
      <c r="B31" s="2" t="s">
        <v>34</v>
      </c>
      <c r="C31" s="66">
        <v>1</v>
      </c>
      <c r="D31" s="68" t="s">
        <v>168</v>
      </c>
      <c r="E31" s="68" t="s">
        <v>169</v>
      </c>
      <c r="F31" s="66">
        <v>1</v>
      </c>
      <c r="G31" s="66">
        <v>0</v>
      </c>
      <c r="H31" s="66">
        <v>0</v>
      </c>
      <c r="I31" s="66">
        <v>0</v>
      </c>
      <c r="J31" s="68">
        <v>0</v>
      </c>
      <c r="K31" s="68" t="s">
        <v>92</v>
      </c>
      <c r="L31" s="68" t="s">
        <v>170</v>
      </c>
      <c r="M31" s="68">
        <v>0</v>
      </c>
      <c r="N31" s="66">
        <v>0</v>
      </c>
      <c r="O31" s="68">
        <v>0</v>
      </c>
      <c r="P31" s="66">
        <v>0</v>
      </c>
      <c r="Q31" s="66">
        <v>0</v>
      </c>
      <c r="R31" s="66">
        <v>1</v>
      </c>
      <c r="S31" s="66">
        <v>1</v>
      </c>
      <c r="T31" s="66">
        <v>0</v>
      </c>
      <c r="U31" s="66">
        <v>0</v>
      </c>
      <c r="V31" s="66">
        <v>0</v>
      </c>
      <c r="W31" s="66">
        <v>0</v>
      </c>
      <c r="X31" s="68">
        <v>0</v>
      </c>
      <c r="Y31" s="68">
        <v>0</v>
      </c>
      <c r="Z31" s="47"/>
    </row>
    <row r="32" spans="1:26" s="9" customFormat="1" ht="21.75" customHeight="1" x14ac:dyDescent="0.35">
      <c r="A32" s="79" t="s">
        <v>27</v>
      </c>
      <c r="B32" s="79"/>
      <c r="C32" s="8">
        <f>SUM(C4:C31)</f>
        <v>18</v>
      </c>
      <c r="D32" s="8"/>
      <c r="E32" s="20"/>
      <c r="F32" s="12">
        <f>SUM(F4:F31)</f>
        <v>10</v>
      </c>
      <c r="G32" s="12">
        <f>SUM(G4:G31)</f>
        <v>3</v>
      </c>
      <c r="H32" s="12">
        <f>SUM(H4:H31)</f>
        <v>0</v>
      </c>
      <c r="I32" s="12">
        <f>SUM(I4:I31)</f>
        <v>0</v>
      </c>
      <c r="J32" s="57">
        <v>5</v>
      </c>
      <c r="K32" s="8"/>
      <c r="L32" s="8"/>
      <c r="M32" s="8">
        <f t="shared" ref="M32:V32" si="0">SUM(M4:M31)</f>
        <v>4</v>
      </c>
      <c r="N32" s="8">
        <f>SUM(N4:N31)</f>
        <v>5</v>
      </c>
      <c r="O32" s="11">
        <f>SUM(O4:O31)</f>
        <v>0</v>
      </c>
      <c r="P32" s="8">
        <f>SUM(P4:P31)</f>
        <v>1</v>
      </c>
      <c r="Q32" s="8">
        <f>SUM(Q4:Q31)</f>
        <v>1</v>
      </c>
      <c r="R32" s="8">
        <f t="shared" si="0"/>
        <v>2</v>
      </c>
      <c r="S32" s="8">
        <f>SUM(S4:S31)</f>
        <v>2</v>
      </c>
      <c r="T32" s="8">
        <f t="shared" si="0"/>
        <v>0</v>
      </c>
      <c r="U32" s="8">
        <f t="shared" si="0"/>
        <v>0</v>
      </c>
      <c r="V32" s="8">
        <f t="shared" si="0"/>
        <v>5</v>
      </c>
      <c r="W32" s="8">
        <f>SUM(W4:W31)</f>
        <v>6</v>
      </c>
      <c r="X32" s="29">
        <v>6</v>
      </c>
      <c r="Y32" s="8">
        <f>SUM(Y4:Y31)</f>
        <v>6</v>
      </c>
    </row>
  </sheetData>
  <mergeCells count="20">
    <mergeCell ref="A32:B32"/>
    <mergeCell ref="A2:A3"/>
    <mergeCell ref="B2:B3"/>
    <mergeCell ref="C2:C3"/>
    <mergeCell ref="D2:D3"/>
    <mergeCell ref="E2:E3"/>
    <mergeCell ref="I2:I3"/>
    <mergeCell ref="J2:J3"/>
    <mergeCell ref="K2:K3"/>
    <mergeCell ref="A1:Y1"/>
    <mergeCell ref="X2:Y2"/>
    <mergeCell ref="R2:S2"/>
    <mergeCell ref="L2:L3"/>
    <mergeCell ref="P2:Q2"/>
    <mergeCell ref="T2:U2"/>
    <mergeCell ref="V2:W2"/>
    <mergeCell ref="M2:O2"/>
    <mergeCell ref="F2:F3"/>
    <mergeCell ref="G2:G3"/>
    <mergeCell ref="H2:H3"/>
  </mergeCells>
  <pageMargins left="0.7" right="0.7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selection activeCell="N22" sqref="N22"/>
    </sheetView>
  </sheetViews>
  <sheetFormatPr defaultRowHeight="14.5" x14ac:dyDescent="0.35"/>
  <cols>
    <col min="1" max="1" width="3.81640625" customWidth="1"/>
    <col min="2" max="2" width="6.6328125" customWidth="1"/>
    <col min="3" max="3" width="5.453125" customWidth="1"/>
    <col min="4" max="4" width="12.453125" customWidth="1"/>
    <col min="5" max="5" width="16" style="16" customWidth="1"/>
    <col min="6" max="6" width="6.26953125" style="16" customWidth="1"/>
    <col min="7" max="7" width="5.26953125" style="16" customWidth="1"/>
    <col min="8" max="8" width="9.26953125" style="16" customWidth="1"/>
    <col min="9" max="9" width="9.81640625" style="16" customWidth="1"/>
    <col min="10" max="10" width="9.7265625" customWidth="1"/>
    <col min="11" max="11" width="9.7265625" style="16" customWidth="1"/>
    <col min="12" max="12" width="11.453125" customWidth="1"/>
    <col min="13" max="13" width="8.7265625" customWidth="1"/>
    <col min="14" max="14" width="7.26953125" customWidth="1"/>
    <col min="15" max="15" width="8.81640625" customWidth="1"/>
    <col min="17" max="17" width="6.7265625" bestFit="1" customWidth="1"/>
    <col min="19" max="19" width="8" customWidth="1"/>
    <col min="21" max="21" width="7.7265625" customWidth="1"/>
    <col min="23" max="23" width="6.7265625" bestFit="1" customWidth="1"/>
    <col min="25" max="25" width="7.26953125" customWidth="1"/>
  </cols>
  <sheetData>
    <row r="1" spans="1:26" ht="24.75" customHeight="1" x14ac:dyDescent="0.35">
      <c r="A1" s="80" t="s">
        <v>51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6" ht="15" customHeight="1" x14ac:dyDescent="0.35">
      <c r="A2" s="79" t="s">
        <v>39</v>
      </c>
      <c r="B2" s="79" t="s">
        <v>38</v>
      </c>
      <c r="C2" s="89" t="s">
        <v>53</v>
      </c>
      <c r="D2" s="79" t="s">
        <v>40</v>
      </c>
      <c r="E2" s="89" t="s">
        <v>73</v>
      </c>
      <c r="F2" s="89" t="s">
        <v>35</v>
      </c>
      <c r="G2" s="89" t="s">
        <v>36</v>
      </c>
      <c r="H2" s="91" t="s">
        <v>55</v>
      </c>
      <c r="I2" s="91" t="s">
        <v>56</v>
      </c>
      <c r="J2" s="91" t="s">
        <v>72</v>
      </c>
      <c r="K2" s="79" t="s">
        <v>46</v>
      </c>
      <c r="L2" s="79" t="s">
        <v>28</v>
      </c>
      <c r="M2" s="93" t="s">
        <v>41</v>
      </c>
      <c r="N2" s="94"/>
      <c r="O2" s="95"/>
      <c r="P2" s="92" t="s">
        <v>44</v>
      </c>
      <c r="Q2" s="92"/>
      <c r="R2" s="92" t="s">
        <v>48</v>
      </c>
      <c r="S2" s="92"/>
      <c r="T2" s="92" t="s">
        <v>49</v>
      </c>
      <c r="U2" s="92"/>
      <c r="V2" s="92" t="s">
        <v>50</v>
      </c>
      <c r="W2" s="92"/>
      <c r="X2" s="92" t="s">
        <v>45</v>
      </c>
      <c r="Y2" s="92"/>
    </row>
    <row r="3" spans="1:26" ht="36.75" customHeight="1" x14ac:dyDescent="0.35">
      <c r="A3" s="79"/>
      <c r="B3" s="79"/>
      <c r="C3" s="90"/>
      <c r="D3" s="79"/>
      <c r="E3" s="90"/>
      <c r="F3" s="90"/>
      <c r="G3" s="90"/>
      <c r="H3" s="91"/>
      <c r="I3" s="91"/>
      <c r="J3" s="91"/>
      <c r="K3" s="79"/>
      <c r="L3" s="79"/>
      <c r="M3" s="4" t="s">
        <v>42</v>
      </c>
      <c r="N3" s="4" t="s">
        <v>52</v>
      </c>
      <c r="O3" s="10" t="s">
        <v>54</v>
      </c>
      <c r="P3" s="4" t="s">
        <v>42</v>
      </c>
      <c r="Q3" s="7" t="s">
        <v>52</v>
      </c>
      <c r="R3" s="4" t="s">
        <v>42</v>
      </c>
      <c r="S3" s="7" t="s">
        <v>52</v>
      </c>
      <c r="T3" s="4" t="s">
        <v>42</v>
      </c>
      <c r="U3" s="7" t="s">
        <v>52</v>
      </c>
      <c r="V3" s="4" t="s">
        <v>42</v>
      </c>
      <c r="W3" s="7" t="s">
        <v>52</v>
      </c>
      <c r="X3" s="4" t="s">
        <v>42</v>
      </c>
      <c r="Y3" s="4" t="s">
        <v>52</v>
      </c>
    </row>
    <row r="4" spans="1:26" x14ac:dyDescent="0.35">
      <c r="A4" s="1">
        <v>1</v>
      </c>
      <c r="B4" s="1" t="s">
        <v>7</v>
      </c>
      <c r="C4" s="66">
        <v>0</v>
      </c>
      <c r="D4" s="68">
        <v>0</v>
      </c>
      <c r="E4" s="68">
        <v>0</v>
      </c>
      <c r="F4" s="66">
        <v>0</v>
      </c>
      <c r="G4" s="66">
        <v>0</v>
      </c>
      <c r="H4" s="66">
        <v>0</v>
      </c>
      <c r="I4" s="66">
        <v>0</v>
      </c>
      <c r="J4" s="68">
        <v>0</v>
      </c>
      <c r="K4" s="68">
        <v>0</v>
      </c>
      <c r="L4" s="68">
        <v>0</v>
      </c>
      <c r="M4" s="68">
        <v>0</v>
      </c>
      <c r="N4" s="66">
        <v>0</v>
      </c>
      <c r="O4" s="68">
        <v>0</v>
      </c>
      <c r="P4" s="66">
        <v>0</v>
      </c>
      <c r="Q4" s="66">
        <v>0</v>
      </c>
      <c r="R4" s="66">
        <v>0</v>
      </c>
      <c r="S4" s="66">
        <v>0</v>
      </c>
      <c r="T4" s="66">
        <v>0</v>
      </c>
      <c r="U4" s="66">
        <v>0</v>
      </c>
      <c r="V4" s="66">
        <v>0</v>
      </c>
      <c r="W4" s="66">
        <v>0</v>
      </c>
      <c r="X4" s="68">
        <v>0</v>
      </c>
      <c r="Y4" s="68">
        <v>0</v>
      </c>
      <c r="Z4" s="36"/>
    </row>
    <row r="5" spans="1:26" x14ac:dyDescent="0.35">
      <c r="A5" s="1">
        <v>2</v>
      </c>
      <c r="B5" s="1" t="s">
        <v>8</v>
      </c>
      <c r="C5" s="66">
        <v>0</v>
      </c>
      <c r="D5" s="68">
        <v>0</v>
      </c>
      <c r="E5" s="68">
        <v>0</v>
      </c>
      <c r="F5" s="66">
        <v>0</v>
      </c>
      <c r="G5" s="66">
        <v>0</v>
      </c>
      <c r="H5" s="66">
        <v>0</v>
      </c>
      <c r="I5" s="66">
        <v>0</v>
      </c>
      <c r="J5" s="68">
        <v>0</v>
      </c>
      <c r="K5" s="68">
        <v>0</v>
      </c>
      <c r="L5" s="68">
        <v>0</v>
      </c>
      <c r="M5" s="68">
        <v>0</v>
      </c>
      <c r="N5" s="66">
        <v>0</v>
      </c>
      <c r="O5" s="68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8">
        <v>0</v>
      </c>
      <c r="Y5" s="68">
        <v>0</v>
      </c>
    </row>
    <row r="6" spans="1:26" ht="21" x14ac:dyDescent="0.35">
      <c r="A6" s="30">
        <v>3</v>
      </c>
      <c r="B6" s="1" t="s">
        <v>9</v>
      </c>
      <c r="C6" s="66">
        <v>1</v>
      </c>
      <c r="D6" s="68" t="s">
        <v>162</v>
      </c>
      <c r="E6" s="68" t="s">
        <v>163</v>
      </c>
      <c r="F6" s="66">
        <v>0</v>
      </c>
      <c r="G6" s="66">
        <v>1</v>
      </c>
      <c r="H6" s="66">
        <v>0</v>
      </c>
      <c r="I6" s="66">
        <v>0</v>
      </c>
      <c r="J6" s="68">
        <v>0</v>
      </c>
      <c r="K6" s="68" t="s">
        <v>83</v>
      </c>
      <c r="L6" s="65">
        <v>0.41666666666666669</v>
      </c>
      <c r="M6" s="68">
        <v>0</v>
      </c>
      <c r="N6" s="66">
        <v>0</v>
      </c>
      <c r="O6" s="68">
        <v>0</v>
      </c>
      <c r="P6" s="66">
        <v>0</v>
      </c>
      <c r="Q6" s="66">
        <v>0</v>
      </c>
      <c r="R6" s="66">
        <v>1</v>
      </c>
      <c r="S6" s="66">
        <v>2</v>
      </c>
      <c r="T6" s="66">
        <v>0</v>
      </c>
      <c r="U6" s="66">
        <v>0</v>
      </c>
      <c r="V6" s="66">
        <v>0</v>
      </c>
      <c r="W6" s="66">
        <v>0</v>
      </c>
      <c r="X6" s="68">
        <v>0</v>
      </c>
      <c r="Y6" s="68">
        <v>0</v>
      </c>
    </row>
    <row r="7" spans="1:26" x14ac:dyDescent="0.35">
      <c r="A7" s="30">
        <v>4</v>
      </c>
      <c r="B7" s="1" t="s">
        <v>10</v>
      </c>
      <c r="C7" s="66">
        <v>0</v>
      </c>
      <c r="D7" s="68">
        <v>0</v>
      </c>
      <c r="E7" s="68">
        <v>0</v>
      </c>
      <c r="F7" s="66">
        <v>0</v>
      </c>
      <c r="G7" s="66">
        <v>0</v>
      </c>
      <c r="H7" s="66">
        <v>0</v>
      </c>
      <c r="I7" s="66">
        <v>0</v>
      </c>
      <c r="J7" s="68">
        <v>0</v>
      </c>
      <c r="K7" s="68">
        <v>0</v>
      </c>
      <c r="L7" s="68">
        <v>0</v>
      </c>
      <c r="M7" s="68">
        <v>0</v>
      </c>
      <c r="N7" s="66">
        <v>0</v>
      </c>
      <c r="O7" s="68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8">
        <v>0</v>
      </c>
      <c r="Y7" s="68">
        <v>0</v>
      </c>
    </row>
    <row r="8" spans="1:26" ht="31.5" x14ac:dyDescent="0.35">
      <c r="A8" s="30">
        <v>5</v>
      </c>
      <c r="B8" s="1" t="s">
        <v>29</v>
      </c>
      <c r="C8" s="66">
        <v>2</v>
      </c>
      <c r="D8" s="68" t="s">
        <v>120</v>
      </c>
      <c r="E8" s="68" t="s">
        <v>176</v>
      </c>
      <c r="F8" s="66">
        <v>1</v>
      </c>
      <c r="G8" s="66">
        <v>0</v>
      </c>
      <c r="H8" s="66">
        <v>1</v>
      </c>
      <c r="I8" s="66">
        <v>0</v>
      </c>
      <c r="J8" s="68">
        <v>0</v>
      </c>
      <c r="K8" s="68" t="s">
        <v>174</v>
      </c>
      <c r="L8" s="65" t="s">
        <v>175</v>
      </c>
      <c r="M8" s="68">
        <v>0</v>
      </c>
      <c r="N8" s="66">
        <v>0</v>
      </c>
      <c r="O8" s="68">
        <v>0</v>
      </c>
      <c r="P8" s="66">
        <v>0</v>
      </c>
      <c r="Q8" s="66">
        <v>0</v>
      </c>
      <c r="R8" s="66">
        <v>2</v>
      </c>
      <c r="S8" s="66">
        <v>3</v>
      </c>
      <c r="T8" s="66">
        <v>0</v>
      </c>
      <c r="U8" s="66">
        <v>0</v>
      </c>
      <c r="V8" s="66">
        <v>0</v>
      </c>
      <c r="W8" s="66">
        <v>0</v>
      </c>
      <c r="X8" s="68">
        <v>0</v>
      </c>
      <c r="Y8" s="68">
        <v>0</v>
      </c>
    </row>
    <row r="9" spans="1:26" ht="21" x14ac:dyDescent="0.35">
      <c r="A9" s="30">
        <v>6</v>
      </c>
      <c r="B9" s="1" t="s">
        <v>11</v>
      </c>
      <c r="C9" s="66">
        <v>1</v>
      </c>
      <c r="D9" s="68" t="s">
        <v>81</v>
      </c>
      <c r="E9" s="68" t="s">
        <v>85</v>
      </c>
      <c r="F9" s="66">
        <v>1</v>
      </c>
      <c r="G9" s="66">
        <v>0</v>
      </c>
      <c r="H9" s="66">
        <v>0</v>
      </c>
      <c r="I9" s="66">
        <v>0</v>
      </c>
      <c r="J9" s="68">
        <v>0</v>
      </c>
      <c r="K9" s="68" t="s">
        <v>83</v>
      </c>
      <c r="L9" s="78" t="s">
        <v>86</v>
      </c>
      <c r="M9" s="68">
        <v>0</v>
      </c>
      <c r="N9" s="66">
        <v>0</v>
      </c>
      <c r="O9" s="68">
        <v>0</v>
      </c>
      <c r="P9" s="66">
        <v>0</v>
      </c>
      <c r="Q9" s="66">
        <v>0</v>
      </c>
      <c r="R9" s="66">
        <v>1</v>
      </c>
      <c r="S9" s="66">
        <v>1</v>
      </c>
      <c r="T9" s="66">
        <v>0</v>
      </c>
      <c r="U9" s="66">
        <v>0</v>
      </c>
      <c r="V9" s="66">
        <v>0</v>
      </c>
      <c r="W9" s="66">
        <v>0</v>
      </c>
      <c r="X9" s="68">
        <v>0</v>
      </c>
      <c r="Y9" s="68">
        <v>0</v>
      </c>
      <c r="Z9" s="55"/>
    </row>
    <row r="10" spans="1:26" ht="21" x14ac:dyDescent="0.35">
      <c r="A10" s="30">
        <v>7</v>
      </c>
      <c r="B10" s="1" t="s">
        <v>12</v>
      </c>
      <c r="C10" s="66">
        <v>2</v>
      </c>
      <c r="D10" s="68" t="s">
        <v>116</v>
      </c>
      <c r="E10" s="71" t="s">
        <v>117</v>
      </c>
      <c r="F10" s="66">
        <v>1</v>
      </c>
      <c r="G10" s="66">
        <v>1</v>
      </c>
      <c r="H10" s="66">
        <v>0</v>
      </c>
      <c r="I10" s="66">
        <v>0</v>
      </c>
      <c r="J10" s="68">
        <v>0</v>
      </c>
      <c r="K10" s="68" t="s">
        <v>118</v>
      </c>
      <c r="L10" s="68" t="s">
        <v>119</v>
      </c>
      <c r="M10" s="68">
        <v>0</v>
      </c>
      <c r="N10" s="66">
        <v>0</v>
      </c>
      <c r="O10" s="68">
        <v>0</v>
      </c>
      <c r="P10" s="66">
        <v>1</v>
      </c>
      <c r="Q10" s="66">
        <v>2</v>
      </c>
      <c r="R10" s="66">
        <v>0</v>
      </c>
      <c r="S10" s="66">
        <v>0</v>
      </c>
      <c r="T10" s="66">
        <v>0</v>
      </c>
      <c r="U10" s="66">
        <v>0</v>
      </c>
      <c r="V10" s="66">
        <v>1</v>
      </c>
      <c r="W10" s="66">
        <v>2</v>
      </c>
      <c r="X10" s="68">
        <v>0</v>
      </c>
      <c r="Y10" s="68">
        <v>0</v>
      </c>
    </row>
    <row r="11" spans="1:26" ht="31.5" x14ac:dyDescent="0.35">
      <c r="A11" s="30">
        <v>8</v>
      </c>
      <c r="B11" s="1" t="s">
        <v>13</v>
      </c>
      <c r="C11" s="66">
        <v>1</v>
      </c>
      <c r="D11" s="68" t="s">
        <v>120</v>
      </c>
      <c r="E11" s="71" t="s">
        <v>121</v>
      </c>
      <c r="F11" s="66">
        <v>0</v>
      </c>
      <c r="G11" s="66">
        <v>1</v>
      </c>
      <c r="H11" s="66">
        <v>0</v>
      </c>
      <c r="I11" s="66">
        <v>0</v>
      </c>
      <c r="J11" s="68">
        <v>0</v>
      </c>
      <c r="K11" s="68" t="s">
        <v>83</v>
      </c>
      <c r="L11" s="76">
        <v>0.64583333333333337</v>
      </c>
      <c r="M11" s="68">
        <v>1</v>
      </c>
      <c r="N11" s="66">
        <v>1</v>
      </c>
      <c r="O11" s="68" t="s">
        <v>122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8">
        <v>0</v>
      </c>
      <c r="Y11" s="68">
        <v>0</v>
      </c>
    </row>
    <row r="12" spans="1:26" ht="42" x14ac:dyDescent="0.35">
      <c r="A12" s="30">
        <v>9</v>
      </c>
      <c r="B12" s="1" t="s">
        <v>14</v>
      </c>
      <c r="C12" s="66">
        <v>1</v>
      </c>
      <c r="D12" s="68" t="s">
        <v>100</v>
      </c>
      <c r="E12" s="68" t="s">
        <v>105</v>
      </c>
      <c r="F12" s="66">
        <v>0</v>
      </c>
      <c r="G12" s="66">
        <v>1</v>
      </c>
      <c r="H12" s="66">
        <v>0</v>
      </c>
      <c r="I12" s="66">
        <v>0</v>
      </c>
      <c r="J12" s="68">
        <v>0</v>
      </c>
      <c r="K12" s="68" t="s">
        <v>83</v>
      </c>
      <c r="L12" s="68" t="s">
        <v>106</v>
      </c>
      <c r="M12" s="68">
        <v>0</v>
      </c>
      <c r="N12" s="66">
        <v>0</v>
      </c>
      <c r="O12" s="68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1</v>
      </c>
      <c r="W12" s="66">
        <v>2</v>
      </c>
      <c r="X12" s="68">
        <v>0</v>
      </c>
      <c r="Y12" s="68">
        <v>0</v>
      </c>
    </row>
    <row r="13" spans="1:26" s="32" customFormat="1" x14ac:dyDescent="0.35">
      <c r="A13" s="30">
        <v>10</v>
      </c>
      <c r="B13" s="30" t="s">
        <v>76</v>
      </c>
      <c r="C13" s="66">
        <v>0</v>
      </c>
      <c r="D13" s="68">
        <v>0</v>
      </c>
      <c r="E13" s="68">
        <v>0</v>
      </c>
      <c r="F13" s="66">
        <v>0</v>
      </c>
      <c r="G13" s="66">
        <v>0</v>
      </c>
      <c r="H13" s="66">
        <v>0</v>
      </c>
      <c r="I13" s="66">
        <v>0</v>
      </c>
      <c r="J13" s="68">
        <v>0</v>
      </c>
      <c r="K13" s="68">
        <v>0</v>
      </c>
      <c r="L13" s="68">
        <v>0</v>
      </c>
      <c r="M13" s="68">
        <v>0</v>
      </c>
      <c r="N13" s="66">
        <v>0</v>
      </c>
      <c r="O13" s="68">
        <v>0</v>
      </c>
      <c r="P13" s="66">
        <v>0</v>
      </c>
      <c r="Q13" s="66">
        <v>0</v>
      </c>
      <c r="R13" s="66">
        <v>0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8">
        <v>0</v>
      </c>
      <c r="Y13" s="68">
        <v>0</v>
      </c>
    </row>
    <row r="14" spans="1:26" ht="52.5" x14ac:dyDescent="0.35">
      <c r="A14" s="30">
        <v>11</v>
      </c>
      <c r="B14" s="1" t="s">
        <v>15</v>
      </c>
      <c r="C14" s="66">
        <v>4</v>
      </c>
      <c r="D14" s="68" t="s">
        <v>177</v>
      </c>
      <c r="E14" s="68" t="s">
        <v>178</v>
      </c>
      <c r="F14" s="66">
        <v>2</v>
      </c>
      <c r="G14" s="66">
        <v>2</v>
      </c>
      <c r="H14" s="66">
        <v>0</v>
      </c>
      <c r="I14" s="66">
        <v>0</v>
      </c>
      <c r="J14" s="68">
        <v>0</v>
      </c>
      <c r="K14" s="68" t="s">
        <v>179</v>
      </c>
      <c r="L14" s="68" t="s">
        <v>180</v>
      </c>
      <c r="M14" s="68">
        <v>1</v>
      </c>
      <c r="N14" s="66">
        <v>1</v>
      </c>
      <c r="O14" s="68" t="s">
        <v>83</v>
      </c>
      <c r="P14" s="66">
        <v>0</v>
      </c>
      <c r="Q14" s="66">
        <v>0</v>
      </c>
      <c r="R14" s="66">
        <v>2</v>
      </c>
      <c r="S14" s="66">
        <v>3</v>
      </c>
      <c r="T14" s="66">
        <v>0</v>
      </c>
      <c r="U14" s="66">
        <v>0</v>
      </c>
      <c r="V14" s="66">
        <v>1</v>
      </c>
      <c r="W14" s="66">
        <v>1</v>
      </c>
      <c r="X14" s="68">
        <v>0</v>
      </c>
      <c r="Y14" s="68">
        <v>0</v>
      </c>
      <c r="Z14" s="23"/>
    </row>
    <row r="15" spans="1:26" x14ac:dyDescent="0.35">
      <c r="A15" s="30">
        <v>12</v>
      </c>
      <c r="B15" s="2" t="s">
        <v>16</v>
      </c>
      <c r="C15" s="66">
        <v>0</v>
      </c>
      <c r="D15" s="68">
        <v>0</v>
      </c>
      <c r="E15" s="68">
        <v>0</v>
      </c>
      <c r="F15" s="66">
        <v>0</v>
      </c>
      <c r="G15" s="66">
        <v>0</v>
      </c>
      <c r="H15" s="66">
        <v>0</v>
      </c>
      <c r="I15" s="66">
        <v>0</v>
      </c>
      <c r="J15" s="68">
        <v>0</v>
      </c>
      <c r="K15" s="68">
        <v>0</v>
      </c>
      <c r="L15" s="68">
        <v>0</v>
      </c>
      <c r="M15" s="68">
        <v>0</v>
      </c>
      <c r="N15" s="66">
        <v>0</v>
      </c>
      <c r="O15" s="68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8">
        <v>0</v>
      </c>
      <c r="Y15" s="68">
        <v>0</v>
      </c>
    </row>
    <row r="16" spans="1:26" ht="36" customHeight="1" x14ac:dyDescent="0.35">
      <c r="A16" s="30">
        <v>13</v>
      </c>
      <c r="B16" s="1" t="s">
        <v>17</v>
      </c>
      <c r="C16" s="66">
        <v>2</v>
      </c>
      <c r="D16" s="68" t="s">
        <v>123</v>
      </c>
      <c r="E16" s="71" t="s">
        <v>126</v>
      </c>
      <c r="F16" s="66">
        <v>1</v>
      </c>
      <c r="G16" s="66">
        <v>0</v>
      </c>
      <c r="H16" s="66">
        <v>1</v>
      </c>
      <c r="I16" s="66">
        <v>0</v>
      </c>
      <c r="J16" s="68">
        <v>0</v>
      </c>
      <c r="K16" s="68" t="s">
        <v>124</v>
      </c>
      <c r="L16" s="68" t="s">
        <v>125</v>
      </c>
      <c r="M16" s="68">
        <v>1</v>
      </c>
      <c r="N16" s="66">
        <v>1</v>
      </c>
      <c r="O16" s="68" t="s">
        <v>83</v>
      </c>
      <c r="P16" s="66">
        <v>0</v>
      </c>
      <c r="Q16" s="66"/>
      <c r="R16" s="66">
        <v>1</v>
      </c>
      <c r="S16" s="66">
        <v>4</v>
      </c>
      <c r="T16" s="66">
        <v>0</v>
      </c>
      <c r="U16" s="66">
        <v>0</v>
      </c>
      <c r="V16" s="66">
        <v>0</v>
      </c>
      <c r="W16" s="66">
        <v>0</v>
      </c>
      <c r="X16" s="68">
        <v>0</v>
      </c>
      <c r="Y16" s="68">
        <v>0</v>
      </c>
    </row>
    <row r="17" spans="1:26" ht="63" x14ac:dyDescent="0.35">
      <c r="A17" s="30">
        <v>14</v>
      </c>
      <c r="B17" s="1" t="s">
        <v>18</v>
      </c>
      <c r="C17" s="66">
        <v>3</v>
      </c>
      <c r="D17" s="68" t="s">
        <v>147</v>
      </c>
      <c r="E17" s="68" t="s">
        <v>150</v>
      </c>
      <c r="F17" s="66">
        <v>1</v>
      </c>
      <c r="G17" s="66">
        <v>0</v>
      </c>
      <c r="H17" s="66">
        <v>2</v>
      </c>
      <c r="I17" s="66">
        <v>0</v>
      </c>
      <c r="J17" s="68">
        <v>0</v>
      </c>
      <c r="K17" s="68" t="s">
        <v>148</v>
      </c>
      <c r="L17" s="65" t="s">
        <v>149</v>
      </c>
      <c r="M17" s="68">
        <v>1</v>
      </c>
      <c r="N17" s="66">
        <v>1</v>
      </c>
      <c r="O17" s="68" t="s">
        <v>83</v>
      </c>
      <c r="P17" s="66">
        <v>0</v>
      </c>
      <c r="Q17" s="66">
        <v>0</v>
      </c>
      <c r="R17" s="66">
        <v>1</v>
      </c>
      <c r="S17" s="66">
        <v>1</v>
      </c>
      <c r="T17" s="66">
        <v>0</v>
      </c>
      <c r="U17" s="66">
        <v>0</v>
      </c>
      <c r="V17" s="66">
        <v>1</v>
      </c>
      <c r="W17" s="66">
        <v>0</v>
      </c>
      <c r="X17" s="68">
        <v>0</v>
      </c>
      <c r="Y17" s="68">
        <v>0</v>
      </c>
    </row>
    <row r="18" spans="1:26" ht="21" x14ac:dyDescent="0.35">
      <c r="A18" s="30">
        <v>15</v>
      </c>
      <c r="B18" s="2" t="s">
        <v>19</v>
      </c>
      <c r="C18" s="66">
        <v>1</v>
      </c>
      <c r="D18" s="68" t="s">
        <v>107</v>
      </c>
      <c r="E18" s="68" t="s">
        <v>108</v>
      </c>
      <c r="F18" s="66">
        <v>1</v>
      </c>
      <c r="G18" s="66">
        <v>0</v>
      </c>
      <c r="H18" s="66">
        <v>0</v>
      </c>
      <c r="I18" s="66">
        <v>0</v>
      </c>
      <c r="J18" s="68">
        <v>0</v>
      </c>
      <c r="K18" s="68" t="s">
        <v>83</v>
      </c>
      <c r="L18" s="68" t="s">
        <v>109</v>
      </c>
      <c r="M18" s="68">
        <v>1</v>
      </c>
      <c r="N18" s="66">
        <v>1</v>
      </c>
      <c r="O18" s="68" t="s">
        <v>83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8">
        <v>0</v>
      </c>
      <c r="Y18" s="68">
        <v>0</v>
      </c>
      <c r="Z18" s="59"/>
    </row>
    <row r="19" spans="1:26" x14ac:dyDescent="0.35">
      <c r="A19" s="30">
        <v>16</v>
      </c>
      <c r="B19" s="1" t="s">
        <v>20</v>
      </c>
      <c r="C19" s="66">
        <v>1</v>
      </c>
      <c r="D19" s="68" t="s">
        <v>93</v>
      </c>
      <c r="E19" s="68" t="s">
        <v>94</v>
      </c>
      <c r="F19" s="66">
        <v>1</v>
      </c>
      <c r="G19" s="66">
        <v>0</v>
      </c>
      <c r="H19" s="66">
        <v>0</v>
      </c>
      <c r="I19" s="66">
        <v>0</v>
      </c>
      <c r="J19" s="68">
        <v>0</v>
      </c>
      <c r="K19" s="68" t="s">
        <v>95</v>
      </c>
      <c r="L19" s="65" t="s">
        <v>96</v>
      </c>
      <c r="M19" s="68">
        <v>1</v>
      </c>
      <c r="N19" s="66">
        <v>1</v>
      </c>
      <c r="O19" s="68" t="s">
        <v>92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8">
        <v>0</v>
      </c>
      <c r="Y19" s="68">
        <v>0</v>
      </c>
    </row>
    <row r="20" spans="1:26" ht="21" x14ac:dyDescent="0.35">
      <c r="A20" s="30">
        <v>17</v>
      </c>
      <c r="B20" s="1" t="s">
        <v>21</v>
      </c>
      <c r="C20" s="66">
        <v>1</v>
      </c>
      <c r="D20" s="68" t="s">
        <v>81</v>
      </c>
      <c r="E20" s="68" t="s">
        <v>157</v>
      </c>
      <c r="F20" s="66">
        <v>1</v>
      </c>
      <c r="G20" s="66">
        <v>0</v>
      </c>
      <c r="H20" s="66">
        <v>0</v>
      </c>
      <c r="I20" s="66">
        <v>0</v>
      </c>
      <c r="J20" s="68">
        <v>0</v>
      </c>
      <c r="K20" s="68" t="s">
        <v>144</v>
      </c>
      <c r="L20" s="68" t="s">
        <v>158</v>
      </c>
      <c r="M20" s="68">
        <v>0</v>
      </c>
      <c r="N20" s="66">
        <v>0</v>
      </c>
      <c r="O20" s="68">
        <v>0</v>
      </c>
      <c r="P20" s="66">
        <v>0</v>
      </c>
      <c r="Q20" s="66">
        <v>0</v>
      </c>
      <c r="R20" s="66">
        <v>1</v>
      </c>
      <c r="S20" s="66">
        <v>2</v>
      </c>
      <c r="T20" s="66">
        <v>0</v>
      </c>
      <c r="U20" s="66">
        <v>0</v>
      </c>
      <c r="V20" s="66">
        <v>0</v>
      </c>
      <c r="W20" s="66">
        <v>0</v>
      </c>
      <c r="X20" s="68">
        <v>0</v>
      </c>
      <c r="Y20" s="68">
        <v>0</v>
      </c>
      <c r="Z20" s="26"/>
    </row>
    <row r="21" spans="1:26" x14ac:dyDescent="0.35">
      <c r="A21" s="30">
        <v>18</v>
      </c>
      <c r="B21" s="3" t="s">
        <v>30</v>
      </c>
      <c r="C21" s="66">
        <v>0</v>
      </c>
      <c r="D21" s="68">
        <v>0</v>
      </c>
      <c r="E21" s="68">
        <v>0</v>
      </c>
      <c r="F21" s="66">
        <v>0</v>
      </c>
      <c r="G21" s="66">
        <v>0</v>
      </c>
      <c r="H21" s="66">
        <v>0</v>
      </c>
      <c r="I21" s="66">
        <v>0</v>
      </c>
      <c r="J21" s="68">
        <v>0</v>
      </c>
      <c r="K21" s="68">
        <v>0</v>
      </c>
      <c r="L21" s="68">
        <v>0</v>
      </c>
      <c r="M21" s="68">
        <v>0</v>
      </c>
      <c r="N21" s="66">
        <v>0</v>
      </c>
      <c r="O21" s="68">
        <v>0</v>
      </c>
      <c r="P21" s="66">
        <v>0</v>
      </c>
      <c r="Q21" s="66">
        <v>0</v>
      </c>
      <c r="R21" s="66">
        <v>0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8">
        <v>0</v>
      </c>
      <c r="Y21" s="68">
        <v>0</v>
      </c>
    </row>
    <row r="22" spans="1:26" s="32" customFormat="1" x14ac:dyDescent="0.35">
      <c r="A22" s="30">
        <v>19</v>
      </c>
      <c r="B22" s="33" t="s">
        <v>75</v>
      </c>
      <c r="C22" s="66">
        <v>0</v>
      </c>
      <c r="D22" s="68">
        <v>0</v>
      </c>
      <c r="E22" s="68">
        <v>0</v>
      </c>
      <c r="F22" s="66">
        <v>0</v>
      </c>
      <c r="G22" s="66">
        <v>0</v>
      </c>
      <c r="H22" s="66">
        <v>0</v>
      </c>
      <c r="I22" s="66">
        <v>0</v>
      </c>
      <c r="J22" s="68">
        <v>0</v>
      </c>
      <c r="K22" s="68">
        <v>0</v>
      </c>
      <c r="L22" s="68">
        <v>0</v>
      </c>
      <c r="M22" s="68">
        <v>0</v>
      </c>
      <c r="N22" s="66">
        <v>0</v>
      </c>
      <c r="O22" s="68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8">
        <v>0</v>
      </c>
      <c r="Y22" s="68">
        <v>0</v>
      </c>
      <c r="Z22" s="58"/>
    </row>
    <row r="23" spans="1:26" ht="63" x14ac:dyDescent="0.35">
      <c r="A23" s="30">
        <v>20</v>
      </c>
      <c r="B23" s="2" t="s">
        <v>22</v>
      </c>
      <c r="C23" s="66">
        <v>3</v>
      </c>
      <c r="D23" s="68" t="s">
        <v>141</v>
      </c>
      <c r="E23" s="68" t="s">
        <v>146</v>
      </c>
      <c r="F23" s="66">
        <v>0</v>
      </c>
      <c r="G23" s="66">
        <v>0</v>
      </c>
      <c r="H23" s="66">
        <v>1</v>
      </c>
      <c r="I23" s="66">
        <v>0</v>
      </c>
      <c r="J23" s="68" t="s">
        <v>142</v>
      </c>
      <c r="K23" s="68" t="s">
        <v>83</v>
      </c>
      <c r="L23" s="77" t="s">
        <v>143</v>
      </c>
      <c r="M23" s="68">
        <v>1</v>
      </c>
      <c r="N23" s="66">
        <v>1</v>
      </c>
      <c r="O23" s="68" t="s">
        <v>144</v>
      </c>
      <c r="P23" s="66">
        <v>1</v>
      </c>
      <c r="Q23" s="66">
        <v>1</v>
      </c>
      <c r="R23" s="66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8" t="s">
        <v>145</v>
      </c>
      <c r="Y23" s="68">
        <v>1</v>
      </c>
    </row>
    <row r="24" spans="1:26" x14ac:dyDescent="0.35">
      <c r="A24" s="30">
        <v>21</v>
      </c>
      <c r="B24" s="1" t="s">
        <v>31</v>
      </c>
      <c r="C24" s="66">
        <v>0</v>
      </c>
      <c r="D24" s="68">
        <v>0</v>
      </c>
      <c r="E24" s="68">
        <v>0</v>
      </c>
      <c r="F24" s="66">
        <v>0</v>
      </c>
      <c r="G24" s="66">
        <v>0</v>
      </c>
      <c r="H24" s="66">
        <v>0</v>
      </c>
      <c r="I24" s="66">
        <v>0</v>
      </c>
      <c r="J24" s="68">
        <v>0</v>
      </c>
      <c r="K24" s="68">
        <v>0</v>
      </c>
      <c r="L24" s="68">
        <v>0</v>
      </c>
      <c r="M24" s="68">
        <v>0</v>
      </c>
      <c r="N24" s="66">
        <v>0</v>
      </c>
      <c r="O24" s="68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8">
        <v>0</v>
      </c>
      <c r="Y24" s="68">
        <v>0</v>
      </c>
    </row>
    <row r="25" spans="1:26" ht="31.5" x14ac:dyDescent="0.35">
      <c r="A25" s="30">
        <v>22</v>
      </c>
      <c r="B25" s="1" t="s">
        <v>32</v>
      </c>
      <c r="C25" s="66">
        <v>1</v>
      </c>
      <c r="D25" s="68" t="s">
        <v>135</v>
      </c>
      <c r="E25" s="71" t="s">
        <v>136</v>
      </c>
      <c r="F25" s="68">
        <v>1</v>
      </c>
      <c r="G25" s="66">
        <v>0</v>
      </c>
      <c r="H25" s="66">
        <v>0</v>
      </c>
      <c r="I25" s="66">
        <v>0</v>
      </c>
      <c r="J25" s="68">
        <v>0</v>
      </c>
      <c r="K25" s="68" t="s">
        <v>83</v>
      </c>
      <c r="L25" s="68" t="s">
        <v>137</v>
      </c>
      <c r="M25" s="68">
        <v>1</v>
      </c>
      <c r="N25" s="66">
        <v>1</v>
      </c>
      <c r="O25" s="68" t="s">
        <v>83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8">
        <v>0</v>
      </c>
      <c r="Y25" s="68">
        <v>0</v>
      </c>
    </row>
    <row r="26" spans="1:26" x14ac:dyDescent="0.35">
      <c r="A26" s="30">
        <v>23</v>
      </c>
      <c r="B26" s="1" t="s">
        <v>33</v>
      </c>
      <c r="C26" s="66">
        <v>0</v>
      </c>
      <c r="D26" s="68">
        <v>0</v>
      </c>
      <c r="E26" s="68">
        <v>0</v>
      </c>
      <c r="F26" s="66">
        <v>0</v>
      </c>
      <c r="G26" s="66">
        <v>0</v>
      </c>
      <c r="H26" s="66">
        <v>0</v>
      </c>
      <c r="I26" s="66">
        <v>0</v>
      </c>
      <c r="J26" s="68">
        <v>0</v>
      </c>
      <c r="K26" s="68">
        <v>0</v>
      </c>
      <c r="L26" s="68">
        <v>0</v>
      </c>
      <c r="M26" s="68">
        <v>0</v>
      </c>
      <c r="N26" s="66">
        <v>0</v>
      </c>
      <c r="O26" s="68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8">
        <v>0</v>
      </c>
      <c r="Y26" s="68">
        <v>0</v>
      </c>
    </row>
    <row r="27" spans="1:26" x14ac:dyDescent="0.35">
      <c r="A27" s="30">
        <v>24</v>
      </c>
      <c r="B27" s="2" t="s">
        <v>23</v>
      </c>
      <c r="C27" s="66">
        <v>0</v>
      </c>
      <c r="D27" s="68">
        <v>0</v>
      </c>
      <c r="E27" s="68">
        <v>0</v>
      </c>
      <c r="F27" s="66">
        <v>0</v>
      </c>
      <c r="G27" s="66">
        <v>0</v>
      </c>
      <c r="H27" s="66">
        <v>0</v>
      </c>
      <c r="I27" s="66">
        <v>0</v>
      </c>
      <c r="J27" s="68">
        <v>0</v>
      </c>
      <c r="K27" s="68">
        <v>0</v>
      </c>
      <c r="L27" s="68">
        <v>0</v>
      </c>
      <c r="M27" s="68">
        <v>0</v>
      </c>
      <c r="N27" s="66">
        <v>0</v>
      </c>
      <c r="O27" s="68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8">
        <v>0</v>
      </c>
      <c r="Y27" s="68">
        <v>0</v>
      </c>
    </row>
    <row r="28" spans="1:26" x14ac:dyDescent="0.35">
      <c r="A28" s="30">
        <v>25</v>
      </c>
      <c r="B28" s="2" t="s">
        <v>24</v>
      </c>
      <c r="C28" s="66">
        <v>0</v>
      </c>
      <c r="D28" s="68">
        <v>0</v>
      </c>
      <c r="E28" s="68">
        <v>0</v>
      </c>
      <c r="F28" s="66">
        <v>0</v>
      </c>
      <c r="G28" s="66">
        <v>0</v>
      </c>
      <c r="H28" s="66">
        <v>0</v>
      </c>
      <c r="I28" s="66">
        <v>0</v>
      </c>
      <c r="J28" s="68">
        <v>0</v>
      </c>
      <c r="K28" s="68">
        <v>0</v>
      </c>
      <c r="L28" s="68">
        <v>0</v>
      </c>
      <c r="M28" s="68">
        <v>0</v>
      </c>
      <c r="N28" s="66">
        <v>0</v>
      </c>
      <c r="O28" s="68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8">
        <v>0</v>
      </c>
      <c r="Y28" s="68">
        <v>0</v>
      </c>
    </row>
    <row r="29" spans="1:26" x14ac:dyDescent="0.35">
      <c r="A29" s="30">
        <v>26</v>
      </c>
      <c r="B29" s="2" t="s">
        <v>25</v>
      </c>
      <c r="C29" s="66">
        <v>0</v>
      </c>
      <c r="D29" s="68">
        <v>0</v>
      </c>
      <c r="E29" s="68">
        <v>0</v>
      </c>
      <c r="F29" s="66">
        <v>0</v>
      </c>
      <c r="G29" s="66">
        <v>0</v>
      </c>
      <c r="H29" s="66">
        <v>0</v>
      </c>
      <c r="I29" s="66">
        <v>0</v>
      </c>
      <c r="J29" s="68">
        <v>0</v>
      </c>
      <c r="K29" s="68">
        <v>0</v>
      </c>
      <c r="L29" s="68">
        <v>0</v>
      </c>
      <c r="M29" s="68">
        <v>0</v>
      </c>
      <c r="N29" s="66">
        <v>0</v>
      </c>
      <c r="O29" s="68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8">
        <v>0</v>
      </c>
      <c r="Y29" s="68">
        <v>0</v>
      </c>
    </row>
    <row r="30" spans="1:26" x14ac:dyDescent="0.35">
      <c r="A30" s="30">
        <v>27</v>
      </c>
      <c r="B30" s="2" t="s">
        <v>26</v>
      </c>
      <c r="C30" s="66">
        <v>0</v>
      </c>
      <c r="D30" s="68">
        <v>0</v>
      </c>
      <c r="E30" s="68">
        <v>0</v>
      </c>
      <c r="F30" s="66">
        <v>0</v>
      </c>
      <c r="G30" s="66">
        <v>0</v>
      </c>
      <c r="H30" s="66">
        <v>0</v>
      </c>
      <c r="I30" s="66">
        <v>0</v>
      </c>
      <c r="J30" s="68">
        <v>0</v>
      </c>
      <c r="K30" s="68">
        <v>0</v>
      </c>
      <c r="L30" s="68">
        <v>0</v>
      </c>
      <c r="M30" s="68">
        <v>0</v>
      </c>
      <c r="N30" s="66">
        <v>0</v>
      </c>
      <c r="O30" s="68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8">
        <v>0</v>
      </c>
      <c r="Y30" s="68">
        <v>0</v>
      </c>
    </row>
    <row r="31" spans="1:26" ht="40.5" customHeight="1" x14ac:dyDescent="0.35">
      <c r="A31" s="30">
        <v>28</v>
      </c>
      <c r="B31" s="2" t="s">
        <v>34</v>
      </c>
      <c r="C31" s="66">
        <v>2</v>
      </c>
      <c r="D31" s="68" t="s">
        <v>171</v>
      </c>
      <c r="E31" s="68" t="s">
        <v>172</v>
      </c>
      <c r="F31" s="66">
        <v>2</v>
      </c>
      <c r="G31" s="66">
        <v>0</v>
      </c>
      <c r="H31" s="66">
        <v>0</v>
      </c>
      <c r="I31" s="66">
        <v>0</v>
      </c>
      <c r="J31" s="68">
        <v>0</v>
      </c>
      <c r="K31" s="68" t="s">
        <v>92</v>
      </c>
      <c r="L31" s="68" t="s">
        <v>173</v>
      </c>
      <c r="M31" s="68">
        <v>0</v>
      </c>
      <c r="N31" s="66">
        <v>0</v>
      </c>
      <c r="O31" s="68">
        <v>0</v>
      </c>
      <c r="P31" s="66">
        <v>0</v>
      </c>
      <c r="Q31" s="66">
        <v>0</v>
      </c>
      <c r="R31" s="66">
        <v>1</v>
      </c>
      <c r="S31" s="66">
        <v>2</v>
      </c>
      <c r="T31" s="66">
        <v>1</v>
      </c>
      <c r="U31" s="66">
        <v>1</v>
      </c>
      <c r="V31" s="66">
        <v>0</v>
      </c>
      <c r="W31" s="66">
        <v>0</v>
      </c>
      <c r="X31" s="68">
        <v>0</v>
      </c>
      <c r="Y31" s="68">
        <v>0</v>
      </c>
      <c r="Z31" s="25"/>
    </row>
    <row r="32" spans="1:26" s="9" customFormat="1" ht="21" customHeight="1" x14ac:dyDescent="0.35">
      <c r="A32" s="79" t="s">
        <v>27</v>
      </c>
      <c r="B32" s="79"/>
      <c r="C32" s="8">
        <f>SUM(C4:C31)</f>
        <v>26</v>
      </c>
      <c r="D32" s="8"/>
      <c r="E32" s="20">
        <v>0</v>
      </c>
      <c r="F32" s="19">
        <f>SUM(F4:F31)</f>
        <v>13</v>
      </c>
      <c r="G32" s="19">
        <f>SUM(G4:G31)</f>
        <v>6</v>
      </c>
      <c r="H32" s="19">
        <f>SUM(H4:H31)</f>
        <v>5</v>
      </c>
      <c r="I32" s="19">
        <f>SUM(I4:I31)</f>
        <v>0</v>
      </c>
      <c r="J32" s="37">
        <v>2</v>
      </c>
      <c r="K32" s="20"/>
      <c r="L32" s="8"/>
      <c r="M32" s="8">
        <f t="shared" ref="M32:Y32" si="0">SUM(M4:M31)</f>
        <v>8</v>
      </c>
      <c r="N32" s="8">
        <f t="shared" si="0"/>
        <v>8</v>
      </c>
      <c r="O32" s="11"/>
      <c r="P32" s="8">
        <f t="shared" si="0"/>
        <v>2</v>
      </c>
      <c r="Q32" s="8">
        <f t="shared" si="0"/>
        <v>3</v>
      </c>
      <c r="R32" s="8">
        <f t="shared" si="0"/>
        <v>10</v>
      </c>
      <c r="S32" s="8">
        <f t="shared" si="0"/>
        <v>18</v>
      </c>
      <c r="T32" s="8">
        <f t="shared" si="0"/>
        <v>1</v>
      </c>
      <c r="U32" s="8">
        <f t="shared" si="0"/>
        <v>1</v>
      </c>
      <c r="V32" s="8">
        <f t="shared" si="0"/>
        <v>4</v>
      </c>
      <c r="W32" s="8">
        <f t="shared" si="0"/>
        <v>5</v>
      </c>
      <c r="X32" s="8">
        <v>1</v>
      </c>
      <c r="Y32" s="8">
        <f t="shared" si="0"/>
        <v>1</v>
      </c>
    </row>
  </sheetData>
  <mergeCells count="20">
    <mergeCell ref="A32:B32"/>
    <mergeCell ref="A1:Y1"/>
    <mergeCell ref="A2:A3"/>
    <mergeCell ref="B2:B3"/>
    <mergeCell ref="C2:C3"/>
    <mergeCell ref="D2:D3"/>
    <mergeCell ref="J2:J3"/>
    <mergeCell ref="L2:L3"/>
    <mergeCell ref="P2:Q2"/>
    <mergeCell ref="R2:S2"/>
    <mergeCell ref="T2:U2"/>
    <mergeCell ref="V2:W2"/>
    <mergeCell ref="X2:Y2"/>
    <mergeCell ref="M2:O2"/>
    <mergeCell ref="E2:E3"/>
    <mergeCell ref="K2:K3"/>
    <mergeCell ref="F2:F3"/>
    <mergeCell ref="G2:G3"/>
    <mergeCell ref="H2:H3"/>
    <mergeCell ref="I2:I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tabSelected="1" workbookViewId="0">
      <selection activeCell="M9" sqref="M9"/>
    </sheetView>
  </sheetViews>
  <sheetFormatPr defaultRowHeight="14.5" x14ac:dyDescent="0.35"/>
  <cols>
    <col min="1" max="1" width="3.7265625" style="16" customWidth="1"/>
    <col min="2" max="2" width="20.36328125" customWidth="1"/>
    <col min="3" max="3" width="11.81640625" customWidth="1"/>
    <col min="4" max="4" width="14.7265625" customWidth="1"/>
    <col min="5" max="5" width="8.26953125" customWidth="1"/>
    <col min="6" max="6" width="11.7265625" customWidth="1"/>
    <col min="7" max="7" width="9.54296875" customWidth="1"/>
    <col min="8" max="8" width="16.26953125" customWidth="1"/>
    <col min="9" max="9" width="1.81640625" customWidth="1"/>
    <col min="10" max="10" width="1.90625" customWidth="1"/>
    <col min="11" max="11" width="9.6328125" customWidth="1"/>
    <col min="12" max="12" width="7.54296875" customWidth="1"/>
    <col min="13" max="13" width="9.6328125" customWidth="1"/>
    <col min="14" max="14" width="8" customWidth="1"/>
  </cols>
  <sheetData>
    <row r="2" spans="1:14" ht="27.75" customHeight="1" x14ac:dyDescent="0.35">
      <c r="A2" s="89" t="s">
        <v>78</v>
      </c>
      <c r="B2" s="99" t="s">
        <v>57</v>
      </c>
      <c r="C2" s="101" t="s">
        <v>66</v>
      </c>
      <c r="D2" s="101"/>
      <c r="E2" s="101"/>
      <c r="F2" s="101"/>
      <c r="G2" s="101"/>
      <c r="H2" s="101"/>
      <c r="K2" s="96" t="s">
        <v>77</v>
      </c>
      <c r="L2" s="96"/>
      <c r="M2" s="96"/>
      <c r="N2" s="96"/>
    </row>
    <row r="3" spans="1:14" ht="20.25" customHeight="1" x14ac:dyDescent="0.35">
      <c r="A3" s="102"/>
      <c r="B3" s="100"/>
      <c r="C3" s="101" t="s">
        <v>1</v>
      </c>
      <c r="D3" s="101"/>
      <c r="E3" s="101"/>
      <c r="F3" s="101" t="s">
        <v>67</v>
      </c>
      <c r="G3" s="101"/>
      <c r="H3" s="101"/>
      <c r="K3" s="43" t="s">
        <v>38</v>
      </c>
      <c r="L3" s="45" t="s">
        <v>79</v>
      </c>
      <c r="M3" s="45" t="s">
        <v>53</v>
      </c>
      <c r="N3" s="45" t="s">
        <v>43</v>
      </c>
    </row>
    <row r="4" spans="1:14" ht="27" customHeight="1" x14ac:dyDescent="0.35">
      <c r="A4" s="90"/>
      <c r="B4" s="100"/>
      <c r="C4" s="14" t="s">
        <v>4</v>
      </c>
      <c r="D4" s="14" t="s">
        <v>53</v>
      </c>
      <c r="E4" s="14" t="s">
        <v>6</v>
      </c>
      <c r="F4" s="14" t="s">
        <v>68</v>
      </c>
      <c r="G4" s="15" t="s">
        <v>69</v>
      </c>
      <c r="H4" s="15" t="s">
        <v>70</v>
      </c>
      <c r="K4" s="74" t="s">
        <v>14</v>
      </c>
      <c r="L4" s="44">
        <v>1</v>
      </c>
      <c r="M4" s="44">
        <v>0</v>
      </c>
      <c r="N4" s="44">
        <v>1</v>
      </c>
    </row>
    <row r="5" spans="1:14" ht="23.25" customHeight="1" x14ac:dyDescent="0.35">
      <c r="A5" s="18">
        <v>1</v>
      </c>
      <c r="B5" s="75" t="s">
        <v>58</v>
      </c>
      <c r="C5" s="70">
        <v>2</v>
      </c>
      <c r="D5" s="70">
        <v>3</v>
      </c>
      <c r="E5" s="13">
        <f>SUM(C5:D5)</f>
        <v>5</v>
      </c>
      <c r="F5" s="70">
        <v>2</v>
      </c>
      <c r="G5" s="70">
        <v>2</v>
      </c>
      <c r="H5" s="70">
        <v>2</v>
      </c>
      <c r="K5" s="74" t="s">
        <v>21</v>
      </c>
      <c r="L5" s="73">
        <v>1</v>
      </c>
      <c r="M5" s="44">
        <v>1</v>
      </c>
      <c r="N5" s="73">
        <v>1</v>
      </c>
    </row>
    <row r="6" spans="1:14" ht="23.25" customHeight="1" x14ac:dyDescent="0.35">
      <c r="A6" s="18">
        <v>2</v>
      </c>
      <c r="B6" s="75" t="s">
        <v>59</v>
      </c>
      <c r="C6" s="70">
        <v>2</v>
      </c>
      <c r="D6" s="70">
        <v>8</v>
      </c>
      <c r="E6" s="70">
        <f t="shared" ref="E6:E12" si="0">SUM(C6:D6)</f>
        <v>10</v>
      </c>
      <c r="F6" s="70">
        <v>3</v>
      </c>
      <c r="G6" s="70">
        <v>2</v>
      </c>
      <c r="H6" s="70">
        <v>12</v>
      </c>
      <c r="K6" s="74" t="s">
        <v>12</v>
      </c>
      <c r="L6" s="74">
        <v>0</v>
      </c>
      <c r="M6" s="44">
        <v>1</v>
      </c>
      <c r="N6" s="73">
        <v>0</v>
      </c>
    </row>
    <row r="7" spans="1:14" ht="23.25" customHeight="1" x14ac:dyDescent="0.35">
      <c r="A7" s="18">
        <v>3</v>
      </c>
      <c r="B7" s="75" t="s">
        <v>60</v>
      </c>
      <c r="C7" s="70">
        <v>3</v>
      </c>
      <c r="D7" s="70">
        <v>5</v>
      </c>
      <c r="E7" s="70">
        <f t="shared" si="0"/>
        <v>8</v>
      </c>
      <c r="F7" s="70">
        <v>3</v>
      </c>
      <c r="G7" s="70">
        <v>4</v>
      </c>
      <c r="H7" s="70">
        <v>3</v>
      </c>
      <c r="K7" s="74" t="s">
        <v>15</v>
      </c>
      <c r="L7" s="73">
        <v>0</v>
      </c>
      <c r="M7" s="44">
        <v>1</v>
      </c>
      <c r="N7" s="73">
        <v>0</v>
      </c>
    </row>
    <row r="8" spans="1:14" ht="23.25" customHeight="1" x14ac:dyDescent="0.35">
      <c r="A8" s="17">
        <v>4</v>
      </c>
      <c r="B8" s="75" t="s">
        <v>61</v>
      </c>
      <c r="C8" s="70">
        <v>4</v>
      </c>
      <c r="D8" s="70">
        <v>4</v>
      </c>
      <c r="E8" s="70">
        <f t="shared" si="0"/>
        <v>8</v>
      </c>
      <c r="F8" s="70">
        <v>4</v>
      </c>
      <c r="G8" s="70">
        <v>0</v>
      </c>
      <c r="H8" s="70">
        <v>6</v>
      </c>
      <c r="K8" s="74" t="s">
        <v>18</v>
      </c>
      <c r="L8" s="73">
        <v>0</v>
      </c>
      <c r="M8" s="44">
        <v>1</v>
      </c>
      <c r="N8" s="73">
        <v>0</v>
      </c>
    </row>
    <row r="9" spans="1:14" ht="23.25" customHeight="1" x14ac:dyDescent="0.35">
      <c r="A9" s="17">
        <v>5</v>
      </c>
      <c r="B9" s="75" t="s">
        <v>62</v>
      </c>
      <c r="C9" s="66">
        <v>3</v>
      </c>
      <c r="D9" s="70">
        <v>1</v>
      </c>
      <c r="E9" s="70">
        <f t="shared" si="0"/>
        <v>4</v>
      </c>
      <c r="F9" s="66">
        <v>3</v>
      </c>
      <c r="G9" s="70">
        <v>0</v>
      </c>
      <c r="H9" s="66">
        <v>5</v>
      </c>
      <c r="K9" s="74"/>
      <c r="L9" s="44"/>
      <c r="M9" s="44"/>
      <c r="N9" s="44"/>
    </row>
    <row r="10" spans="1:14" ht="23.25" customHeight="1" x14ac:dyDescent="0.35">
      <c r="A10" s="17">
        <v>6</v>
      </c>
      <c r="B10" s="75" t="s">
        <v>63</v>
      </c>
      <c r="C10" s="70">
        <v>4</v>
      </c>
      <c r="D10" s="70">
        <v>4</v>
      </c>
      <c r="E10" s="70">
        <f t="shared" si="0"/>
        <v>8</v>
      </c>
      <c r="F10" s="70">
        <v>5</v>
      </c>
      <c r="G10" s="70">
        <v>2</v>
      </c>
      <c r="H10" s="66">
        <v>7</v>
      </c>
      <c r="K10" s="74"/>
      <c r="L10" s="44"/>
      <c r="M10" s="44"/>
      <c r="N10" s="44"/>
    </row>
    <row r="11" spans="1:14" ht="23.25" customHeight="1" x14ac:dyDescent="0.35">
      <c r="A11" s="17">
        <v>7</v>
      </c>
      <c r="B11" s="75" t="s">
        <v>64</v>
      </c>
      <c r="C11" s="70">
        <v>0</v>
      </c>
      <c r="D11" s="70">
        <v>1</v>
      </c>
      <c r="E11" s="70">
        <f t="shared" si="0"/>
        <v>1</v>
      </c>
      <c r="F11" s="70">
        <v>0</v>
      </c>
      <c r="G11" s="70">
        <v>0</v>
      </c>
      <c r="H11" s="70">
        <v>1</v>
      </c>
      <c r="K11" s="74"/>
      <c r="L11" s="44"/>
      <c r="M11" s="44"/>
      <c r="N11" s="44"/>
    </row>
    <row r="12" spans="1:14" ht="23.25" customHeight="1" x14ac:dyDescent="0.35">
      <c r="A12" s="17">
        <v>8</v>
      </c>
      <c r="B12" s="75" t="s">
        <v>65</v>
      </c>
      <c r="C12" s="70">
        <v>0</v>
      </c>
      <c r="D12" s="70">
        <v>0</v>
      </c>
      <c r="E12" s="70">
        <f t="shared" si="0"/>
        <v>0</v>
      </c>
      <c r="F12" s="70">
        <v>0</v>
      </c>
      <c r="G12" s="70">
        <v>0</v>
      </c>
      <c r="H12" s="70">
        <v>0</v>
      </c>
      <c r="K12" s="17"/>
      <c r="L12" s="17"/>
      <c r="M12" s="17"/>
      <c r="N12" s="17"/>
    </row>
    <row r="13" spans="1:14" ht="23.25" customHeight="1" x14ac:dyDescent="0.35">
      <c r="A13" s="97" t="s">
        <v>6</v>
      </c>
      <c r="B13" s="98"/>
      <c r="C13" s="22">
        <f t="shared" ref="C13:H13" si="1">SUM(C5:C12)</f>
        <v>18</v>
      </c>
      <c r="D13" s="22">
        <f t="shared" si="1"/>
        <v>26</v>
      </c>
      <c r="E13" s="35">
        <f>SUM(C13:D13)</f>
        <v>44</v>
      </c>
      <c r="F13" s="22">
        <f>SUM(F5:F12)</f>
        <v>20</v>
      </c>
      <c r="G13" s="22">
        <f t="shared" si="1"/>
        <v>10</v>
      </c>
      <c r="H13" s="22">
        <f t="shared" si="1"/>
        <v>36</v>
      </c>
      <c r="K13" s="103"/>
      <c r="L13" s="103"/>
      <c r="M13" s="103"/>
      <c r="N13" s="104"/>
    </row>
    <row r="14" spans="1:14" ht="18" customHeight="1" x14ac:dyDescent="0.35">
      <c r="K14" s="42"/>
      <c r="L14" s="42"/>
      <c r="M14" s="42"/>
      <c r="N14" s="42"/>
    </row>
    <row r="15" spans="1:14" ht="18" customHeight="1" x14ac:dyDescent="0.35">
      <c r="D15" s="24"/>
      <c r="K15" s="42"/>
      <c r="L15" s="42"/>
      <c r="M15" s="42"/>
      <c r="N15" s="42"/>
    </row>
    <row r="16" spans="1:14" ht="18" customHeight="1" x14ac:dyDescent="0.35">
      <c r="K16" s="42"/>
      <c r="L16" s="42"/>
      <c r="M16" s="42"/>
      <c r="N16" s="42"/>
    </row>
    <row r="17" spans="11:14" ht="18" customHeight="1" x14ac:dyDescent="0.35">
      <c r="K17" s="42"/>
      <c r="L17" s="42"/>
      <c r="M17" s="42"/>
      <c r="N17" s="42"/>
    </row>
    <row r="18" spans="11:14" ht="18" customHeight="1" x14ac:dyDescent="0.35">
      <c r="K18" s="42"/>
      <c r="L18" s="42"/>
      <c r="M18" s="42"/>
      <c r="N18" s="42"/>
    </row>
    <row r="19" spans="11:14" ht="18" customHeight="1" x14ac:dyDescent="0.35">
      <c r="K19" s="42"/>
      <c r="L19" s="42"/>
      <c r="M19" s="42"/>
      <c r="N19" s="42"/>
    </row>
    <row r="20" spans="11:14" ht="18" customHeight="1" x14ac:dyDescent="0.35">
      <c r="K20" s="42"/>
      <c r="L20" s="42"/>
      <c r="M20" s="42"/>
      <c r="N20" s="42"/>
    </row>
  </sheetData>
  <mergeCells count="8">
    <mergeCell ref="K2:N2"/>
    <mergeCell ref="A13:B13"/>
    <mergeCell ref="B2:B4"/>
    <mergeCell ref="C2:H2"/>
    <mergeCell ref="C3:E3"/>
    <mergeCell ref="F3:H3"/>
    <mergeCell ref="A2:A4"/>
    <mergeCell ref="K13:N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DSR</vt:lpstr>
      <vt:lpstr>Fatal</vt:lpstr>
      <vt:lpstr>Non Fatal</vt:lpstr>
      <vt:lpstr>Time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2026-04-07T07:14:32Z</dcterms:modified>
</cp:coreProperties>
</file>